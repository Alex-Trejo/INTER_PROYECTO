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es" sheetId="1" state="visible" r:id="rId1"/>
    <sheet xmlns:r="http://schemas.openxmlformats.org/officeDocument/2006/relationships" name="SUS" sheetId="2" state="visible" r:id="rId2"/>
    <sheet xmlns:r="http://schemas.openxmlformats.org/officeDocument/2006/relationships" name="PSSUQ" sheetId="3" state="visible" r:id="rId3"/>
    <sheet xmlns:r="http://schemas.openxmlformats.org/officeDocument/2006/relationships" name="UEQ" sheetId="4" state="visible" r:id="rId4"/>
    <sheet xmlns:r="http://schemas.openxmlformats.org/officeDocument/2006/relationships" name="UEQ_items" sheetId="5" state="visible" r:id="rId5"/>
    <sheet xmlns:r="http://schemas.openxmlformats.org/officeDocument/2006/relationships" name="Nielsen" sheetId="6" state="visible" r:id="rId6"/>
    <sheet xmlns:r="http://schemas.openxmlformats.org/officeDocument/2006/relationships" name="Nielsen_evaluadores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0D737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7" customWidth="1" min="3" max="3"/>
    <col width="32" customWidth="1" min="4" max="4"/>
    <col width="18" customWidth="1" min="5" max="5"/>
  </cols>
  <sheetData>
    <row r="1">
      <c r="A1" s="1" t="inlineStr">
        <is>
          <t>N°</t>
        </is>
      </c>
      <c r="B1" s="1" t="inlineStr">
        <is>
          <t>Nombre completo</t>
        </is>
      </c>
      <c r="C1" s="1" t="inlineStr">
        <is>
          <t>Edad</t>
        </is>
      </c>
      <c r="D1" s="1" t="inlineStr">
        <is>
          <t>Perfil</t>
        </is>
      </c>
      <c r="E1" s="1" t="inlineStr">
        <is>
          <t>Plataforma evaluada</t>
        </is>
      </c>
    </row>
    <row r="2">
      <c r="A2" s="2" t="n">
        <v>1</v>
      </c>
      <c r="B2" s="2" t="inlineStr">
        <is>
          <t>María Dolores Quishpe Toapanta</t>
        </is>
      </c>
      <c r="C2" s="2" t="n">
        <v>46</v>
      </c>
      <c r="D2" s="2" t="inlineStr">
        <is>
          <t>Comunera / agricultora</t>
        </is>
      </c>
      <c r="E2" s="2" t="inlineStr">
        <is>
          <t>Móvil</t>
        </is>
      </c>
    </row>
    <row r="3">
      <c r="A3" s="2" t="n">
        <v>2</v>
      </c>
      <c r="B3" s="2" t="inlineStr">
        <is>
          <t>José Manuel Chango Pilamunga</t>
        </is>
      </c>
      <c r="C3" s="2" t="n">
        <v>58</v>
      </c>
      <c r="D3" s="2" t="inlineStr">
        <is>
          <t>Dirigente barrial</t>
        </is>
      </c>
      <c r="E3" s="2" t="inlineStr">
        <is>
          <t>Web y móvil</t>
        </is>
      </c>
    </row>
    <row r="4">
      <c r="A4" s="2" t="n">
        <v>3</v>
      </c>
      <c r="B4" s="2" t="inlineStr">
        <is>
          <t>Rosa Elena Tisalema Masaquiza</t>
        </is>
      </c>
      <c r="C4" s="2" t="n">
        <v>63</v>
      </c>
      <c r="D4" s="2" t="inlineStr">
        <is>
          <t>Comunera / artesana</t>
        </is>
      </c>
      <c r="E4" s="2" t="inlineStr">
        <is>
          <t>Móvil</t>
        </is>
      </c>
    </row>
    <row r="5">
      <c r="A5" s="2" t="n">
        <v>4</v>
      </c>
      <c r="B5" s="2" t="inlineStr">
        <is>
          <t>Luis Alfredo Pacari Guamán</t>
        </is>
      </c>
      <c r="C5" s="2" t="n">
        <v>29</v>
      </c>
      <c r="D5" s="2" t="inlineStr">
        <is>
          <t>Comunero / agricultor</t>
        </is>
      </c>
      <c r="E5" s="2" t="inlineStr">
        <is>
          <t>Móvil</t>
        </is>
      </c>
    </row>
    <row r="6">
      <c r="A6" s="2" t="n">
        <v>5</v>
      </c>
      <c r="B6" s="2" t="inlineStr">
        <is>
          <t>Carmen Lucía Yanchaliquín López</t>
        </is>
      </c>
      <c r="C6" s="2" t="n">
        <v>35</v>
      </c>
      <c r="D6" s="2" t="inlineStr">
        <is>
          <t>Docente de escuela rural</t>
        </is>
      </c>
      <c r="E6" s="2" t="inlineStr">
        <is>
          <t>Web</t>
        </is>
      </c>
    </row>
    <row r="7">
      <c r="A7" s="2" t="n">
        <v>6</v>
      </c>
      <c r="B7" s="2" t="inlineStr">
        <is>
          <t>Segundo Rafael Curichumbi Yupanqui</t>
        </is>
      </c>
      <c r="C7" s="2" t="n">
        <v>67</v>
      </c>
      <c r="D7" s="2" t="inlineStr">
        <is>
          <t>Comunero jubilado</t>
        </is>
      </c>
      <c r="E7" s="2" t="inlineStr">
        <is>
          <t>Móvil</t>
        </is>
      </c>
    </row>
    <row r="8">
      <c r="A8" s="2" t="n">
        <v>7</v>
      </c>
      <c r="B8" s="2" t="inlineStr">
        <is>
          <t>Verónica Alexandra Sailema Chango</t>
        </is>
      </c>
      <c r="C8" s="2" t="n">
        <v>24</v>
      </c>
      <c r="D8" s="2" t="inlineStr">
        <is>
          <t>Estudiante universitaria</t>
        </is>
      </c>
      <c r="E8" s="2" t="inlineStr">
        <is>
          <t>Móvil</t>
        </is>
      </c>
    </row>
    <row r="9">
      <c r="A9" s="2" t="n">
        <v>8</v>
      </c>
      <c r="B9" s="2" t="inlineStr">
        <is>
          <t>Diego Armando Punina Iza</t>
        </is>
      </c>
      <c r="C9" s="2" t="n">
        <v>31</v>
      </c>
      <c r="D9" s="2" t="inlineStr">
        <is>
          <t>Técnico agropecuario</t>
        </is>
      </c>
      <c r="E9" s="2" t="inlineStr">
        <is>
          <t>Web y móvil</t>
        </is>
      </c>
    </row>
    <row r="10">
      <c r="A10" s="2" t="n">
        <v>9</v>
      </c>
      <c r="B10" s="2" t="inlineStr">
        <is>
          <t>Blanca Cecilia Mullo Chicaiza</t>
        </is>
      </c>
      <c r="C10" s="2" t="n">
        <v>41</v>
      </c>
      <c r="D10" s="2" t="inlineStr">
        <is>
          <t>Comerciante</t>
        </is>
      </c>
      <c r="E10" s="2" t="inlineStr">
        <is>
          <t>Móvil</t>
        </is>
      </c>
    </row>
    <row r="11">
      <c r="A11" s="2" t="n">
        <v>10</v>
      </c>
      <c r="B11" s="2" t="inlineStr">
        <is>
          <t>Kevin Andrés Morales Villacís</t>
        </is>
      </c>
      <c r="C11" s="2" t="n">
        <v>21</v>
      </c>
      <c r="D11" s="2" t="inlineStr">
        <is>
          <t>Estudiante de sistemas</t>
        </is>
      </c>
      <c r="E11" s="2" t="inlineStr">
        <is>
          <t>Web y móvil</t>
        </is>
      </c>
    </row>
    <row r="12">
      <c r="A12" s="2" t="n">
        <v>11</v>
      </c>
      <c r="B12" s="2" t="inlineStr">
        <is>
          <t>Nelly Patricia Caizabanda Jerez</t>
        </is>
      </c>
      <c r="C12" s="2" t="n">
        <v>38</v>
      </c>
      <c r="D12" s="2" t="inlineStr">
        <is>
          <t>Promotora de salud comunitaria</t>
        </is>
      </c>
      <c r="E12" s="2" t="inlineStr">
        <is>
          <t>Móvil</t>
        </is>
      </c>
    </row>
    <row r="13">
      <c r="A13" s="2" t="n">
        <v>12</v>
      </c>
      <c r="B13" s="2" t="inlineStr">
        <is>
          <t>Ángel Gustavo Llambo Toalombo</t>
        </is>
      </c>
      <c r="C13" s="2" t="n">
        <v>52</v>
      </c>
      <c r="D13" s="2" t="inlineStr">
        <is>
          <t>Presidente junta de agua</t>
        </is>
      </c>
      <c r="E13" s="2" t="inlineStr">
        <is>
          <t>Web</t>
        </is>
      </c>
    </row>
    <row r="14">
      <c r="A14" s="2" t="n">
        <v>13</v>
      </c>
      <c r="B14" s="2" t="inlineStr">
        <is>
          <t>Evelyn Dayana Toalombo Sisa</t>
        </is>
      </c>
      <c r="C14" s="2" t="n">
        <v>26</v>
      </c>
      <c r="D14" s="2" t="inlineStr">
        <is>
          <t>Estudiante de enfermería</t>
        </is>
      </c>
      <c r="E14" s="2" t="inlineStr">
        <is>
          <t>Móvil</t>
        </is>
      </c>
    </row>
    <row r="15">
      <c r="A15" s="2" t="n">
        <v>14</v>
      </c>
      <c r="B15" s="2" t="inlineStr">
        <is>
          <t>Marco Vinicio Chicaiza Núñez</t>
        </is>
      </c>
      <c r="C15" s="2" t="n">
        <v>44</v>
      </c>
      <c r="D15" s="2" t="inlineStr">
        <is>
          <t>Chofer / transportista</t>
        </is>
      </c>
      <c r="E15" s="2" t="inlineStr">
        <is>
          <t>Móvil</t>
        </is>
      </c>
    </row>
    <row r="16">
      <c r="A16" s="2" t="n">
        <v>15</v>
      </c>
      <c r="B16" s="2" t="inlineStr">
        <is>
          <t>Inés Margarita Pandi Lligalo</t>
        </is>
      </c>
      <c r="C16" s="2" t="n">
        <v>59</v>
      </c>
      <c r="D16" s="2" t="inlineStr">
        <is>
          <t>Comunera / artesana</t>
        </is>
      </c>
      <c r="E16" s="2" t="inlineStr">
        <is>
          <t>Móvil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3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12" customWidth="1" min="13" max="13"/>
  </cols>
  <sheetData>
    <row r="1">
      <c r="A1" s="1" t="inlineStr">
        <is>
          <t>N°</t>
        </is>
      </c>
      <c r="B1" s="1" t="inlineStr">
        <is>
          <t>Participante</t>
        </is>
      </c>
      <c r="C1" s="1" t="inlineStr">
        <is>
          <t>Ítem 1</t>
        </is>
      </c>
      <c r="D1" s="1" t="inlineStr">
        <is>
          <t>Ítem 2</t>
        </is>
      </c>
      <c r="E1" s="1" t="inlineStr">
        <is>
          <t>Ítem 3</t>
        </is>
      </c>
      <c r="F1" s="1" t="inlineStr">
        <is>
          <t>Ítem 4</t>
        </is>
      </c>
      <c r="G1" s="1" t="inlineStr">
        <is>
          <t>Ítem 5</t>
        </is>
      </c>
      <c r="H1" s="1" t="inlineStr">
        <is>
          <t>Ítem 6</t>
        </is>
      </c>
      <c r="I1" s="1" t="inlineStr">
        <is>
          <t>Ítem 7</t>
        </is>
      </c>
      <c r="J1" s="1" t="inlineStr">
        <is>
          <t>Ítem 8</t>
        </is>
      </c>
      <c r="K1" s="1" t="inlineStr">
        <is>
          <t>Ítem 9</t>
        </is>
      </c>
      <c r="L1" s="1" t="inlineStr">
        <is>
          <t>Ítem 10</t>
        </is>
      </c>
      <c r="M1" s="1" t="inlineStr">
        <is>
          <t>Puntaje SUS</t>
        </is>
      </c>
    </row>
    <row r="2">
      <c r="A2" s="2" t="n">
        <v>1</v>
      </c>
      <c r="B2" s="2" t="inlineStr">
        <is>
          <t>María Dolores Quishpe Toapanta</t>
        </is>
      </c>
      <c r="C2" s="2" t="n">
        <v>4</v>
      </c>
      <c r="D2" s="2" t="n">
        <v>2</v>
      </c>
      <c r="E2" s="2" t="n">
        <v>5</v>
      </c>
      <c r="F2" s="2" t="n">
        <v>2</v>
      </c>
      <c r="G2" s="2" t="n">
        <v>4</v>
      </c>
      <c r="H2" s="2" t="n">
        <v>3</v>
      </c>
      <c r="I2" s="2" t="n">
        <v>5</v>
      </c>
      <c r="J2" s="2" t="n">
        <v>2</v>
      </c>
      <c r="K2" s="2" t="n">
        <v>4</v>
      </c>
      <c r="L2" s="2" t="n">
        <v>2</v>
      </c>
      <c r="M2" s="2">
        <f>((C2-1)+(E2-1)+(G2-1)+(I2-1)+(K2-1)+(5-D2)+(5-F2)+(5-H2)+(5-J2)+(5-L2))*2.5</f>
        <v/>
      </c>
    </row>
    <row r="3">
      <c r="A3" s="2" t="n">
        <v>2</v>
      </c>
      <c r="B3" s="2" t="inlineStr">
        <is>
          <t>José Manuel Chango Pilamunga</t>
        </is>
      </c>
      <c r="C3" s="2" t="n">
        <v>4</v>
      </c>
      <c r="D3" s="2" t="n">
        <v>1</v>
      </c>
      <c r="E3" s="2" t="n">
        <v>5</v>
      </c>
      <c r="F3" s="2" t="n">
        <v>2</v>
      </c>
      <c r="G3" s="2" t="n">
        <v>4</v>
      </c>
      <c r="H3" s="2" t="n">
        <v>3</v>
      </c>
      <c r="I3" s="2" t="n">
        <v>5</v>
      </c>
      <c r="J3" s="2" t="n">
        <v>1</v>
      </c>
      <c r="K3" s="2" t="n">
        <v>4</v>
      </c>
      <c r="L3" s="2" t="n">
        <v>2</v>
      </c>
      <c r="M3" s="2">
        <f>((C3-1)+(E3-1)+(G3-1)+(I3-1)+(K3-1)+(5-D3)+(5-F3)+(5-H3)+(5-J3)+(5-L3))*2.5</f>
        <v/>
      </c>
    </row>
    <row r="4">
      <c r="A4" s="2" t="n">
        <v>3</v>
      </c>
      <c r="B4" s="2" t="inlineStr">
        <is>
          <t>Rosa Elena Tisalema Masaquiza</t>
        </is>
      </c>
      <c r="C4" s="2" t="n">
        <v>4</v>
      </c>
      <c r="D4" s="2" t="n">
        <v>3</v>
      </c>
      <c r="E4" s="2" t="n">
        <v>4</v>
      </c>
      <c r="F4" s="2" t="n">
        <v>3</v>
      </c>
      <c r="G4" s="2" t="n">
        <v>4</v>
      </c>
      <c r="H4" s="2" t="n">
        <v>3</v>
      </c>
      <c r="I4" s="2" t="n">
        <v>4</v>
      </c>
      <c r="J4" s="2" t="n">
        <v>2</v>
      </c>
      <c r="K4" s="2" t="n">
        <v>4</v>
      </c>
      <c r="L4" s="2" t="n">
        <v>3</v>
      </c>
      <c r="M4" s="2">
        <f>((C4-1)+(E4-1)+(G4-1)+(I4-1)+(K4-1)+(5-D4)+(5-F4)+(5-H4)+(5-J4)+(5-L4))*2.5</f>
        <v/>
      </c>
    </row>
    <row r="5">
      <c r="A5" s="2" t="n">
        <v>4</v>
      </c>
      <c r="B5" s="2" t="inlineStr">
        <is>
          <t>Luis Alfredo Pacari Guamán</t>
        </is>
      </c>
      <c r="C5" s="2" t="n">
        <v>5</v>
      </c>
      <c r="D5" s="2" t="n">
        <v>3</v>
      </c>
      <c r="E5" s="2" t="n">
        <v>3</v>
      </c>
      <c r="F5" s="2" t="n">
        <v>2</v>
      </c>
      <c r="G5" s="2" t="n">
        <v>4</v>
      </c>
      <c r="H5" s="2" t="n">
        <v>2</v>
      </c>
      <c r="I5" s="2" t="n">
        <v>5</v>
      </c>
      <c r="J5" s="2" t="n">
        <v>2</v>
      </c>
      <c r="K5" s="2" t="n">
        <v>5</v>
      </c>
      <c r="L5" s="2" t="n">
        <v>2</v>
      </c>
      <c r="M5" s="2">
        <f>((C5-1)+(E5-1)+(G5-1)+(I5-1)+(K5-1)+(5-D5)+(5-F5)+(5-H5)+(5-J5)+(5-L5))*2.5</f>
        <v/>
      </c>
    </row>
    <row r="6">
      <c r="A6" s="2" t="n">
        <v>5</v>
      </c>
      <c r="B6" s="2" t="inlineStr">
        <is>
          <t>Carmen Lucía Yanchaliquín López</t>
        </is>
      </c>
      <c r="C6" s="2" t="n">
        <v>4</v>
      </c>
      <c r="D6" s="2" t="n">
        <v>2</v>
      </c>
      <c r="E6" s="2" t="n">
        <v>5</v>
      </c>
      <c r="F6" s="2" t="n">
        <v>1</v>
      </c>
      <c r="G6" s="2" t="n">
        <v>5</v>
      </c>
      <c r="H6" s="2" t="n">
        <v>2</v>
      </c>
      <c r="I6" s="2" t="n">
        <v>5</v>
      </c>
      <c r="J6" s="2" t="n">
        <v>1</v>
      </c>
      <c r="K6" s="2" t="n">
        <v>4</v>
      </c>
      <c r="L6" s="2" t="n">
        <v>2</v>
      </c>
      <c r="M6" s="2">
        <f>((C6-1)+(E6-1)+(G6-1)+(I6-1)+(K6-1)+(5-D6)+(5-F6)+(5-H6)+(5-J6)+(5-L6))*2.5</f>
        <v/>
      </c>
    </row>
    <row r="7">
      <c r="A7" s="2" t="n">
        <v>6</v>
      </c>
      <c r="B7" s="2" t="inlineStr">
        <is>
          <t>Segundo Rafael Curichumbi Yupanqui</t>
        </is>
      </c>
      <c r="C7" s="2" t="n">
        <v>3</v>
      </c>
      <c r="D7" s="2" t="n">
        <v>2</v>
      </c>
      <c r="E7" s="2" t="n">
        <v>4</v>
      </c>
      <c r="F7" s="2" t="n">
        <v>2</v>
      </c>
      <c r="G7" s="2" t="n">
        <v>3</v>
      </c>
      <c r="H7" s="2" t="n">
        <v>4</v>
      </c>
      <c r="I7" s="2" t="n">
        <v>4</v>
      </c>
      <c r="J7" s="2" t="n">
        <v>2</v>
      </c>
      <c r="K7" s="2" t="n">
        <v>3</v>
      </c>
      <c r="L7" s="2" t="n">
        <v>3</v>
      </c>
      <c r="M7" s="2">
        <f>((C7-1)+(E7-1)+(G7-1)+(I7-1)+(K7-1)+(5-D7)+(5-F7)+(5-H7)+(5-J7)+(5-L7))*2.5</f>
        <v/>
      </c>
    </row>
    <row r="8">
      <c r="A8" s="2" t="n">
        <v>7</v>
      </c>
      <c r="B8" s="2" t="inlineStr">
        <is>
          <t>Verónica Alexandra Sailema Chango</t>
        </is>
      </c>
      <c r="C8" s="2" t="n">
        <v>5</v>
      </c>
      <c r="D8" s="2" t="n">
        <v>1</v>
      </c>
      <c r="E8" s="2" t="n">
        <v>4</v>
      </c>
      <c r="F8" s="2" t="n">
        <v>2</v>
      </c>
      <c r="G8" s="2" t="n">
        <v>5</v>
      </c>
      <c r="H8" s="2" t="n">
        <v>2</v>
      </c>
      <c r="I8" s="2" t="n">
        <v>5</v>
      </c>
      <c r="J8" s="2" t="n">
        <v>1</v>
      </c>
      <c r="K8" s="2" t="n">
        <v>4</v>
      </c>
      <c r="L8" s="2" t="n">
        <v>1</v>
      </c>
      <c r="M8" s="2">
        <f>((C8-1)+(E8-1)+(G8-1)+(I8-1)+(K8-1)+(5-D8)+(5-F8)+(5-H8)+(5-J8)+(5-L8))*2.5</f>
        <v/>
      </c>
    </row>
    <row r="9">
      <c r="A9" s="2" t="n">
        <v>8</v>
      </c>
      <c r="B9" s="2" t="inlineStr">
        <is>
          <t>Diego Armando Punina Iza</t>
        </is>
      </c>
      <c r="C9" s="2" t="n">
        <v>5</v>
      </c>
      <c r="D9" s="2" t="n">
        <v>1</v>
      </c>
      <c r="E9" s="2" t="n">
        <v>5</v>
      </c>
      <c r="F9" s="2" t="n">
        <v>2</v>
      </c>
      <c r="G9" s="2" t="n">
        <v>4</v>
      </c>
      <c r="H9" s="2" t="n">
        <v>2</v>
      </c>
      <c r="I9" s="2" t="n">
        <v>5</v>
      </c>
      <c r="J9" s="2" t="n">
        <v>2</v>
      </c>
      <c r="K9" s="2" t="n">
        <v>4</v>
      </c>
      <c r="L9" s="2" t="n">
        <v>1</v>
      </c>
      <c r="M9" s="2">
        <f>((C9-1)+(E9-1)+(G9-1)+(I9-1)+(K9-1)+(5-D9)+(5-F9)+(5-H9)+(5-J9)+(5-L9))*2.5</f>
        <v/>
      </c>
    </row>
    <row r="10">
      <c r="A10" s="2" t="n">
        <v>9</v>
      </c>
      <c r="B10" s="2" t="inlineStr">
        <is>
          <t>Blanca Cecilia Mullo Chicaiza</t>
        </is>
      </c>
      <c r="C10" s="2" t="n">
        <v>4</v>
      </c>
      <c r="D10" s="2" t="n">
        <v>2</v>
      </c>
      <c r="E10" s="2" t="n">
        <v>4</v>
      </c>
      <c r="F10" s="2" t="n">
        <v>2</v>
      </c>
      <c r="G10" s="2" t="n">
        <v>4</v>
      </c>
      <c r="H10" s="2" t="n">
        <v>2</v>
      </c>
      <c r="I10" s="2" t="n">
        <v>5</v>
      </c>
      <c r="J10" s="2" t="n">
        <v>2</v>
      </c>
      <c r="K10" s="2" t="n">
        <v>4</v>
      </c>
      <c r="L10" s="2" t="n">
        <v>2</v>
      </c>
      <c r="M10" s="2">
        <f>((C10-1)+(E10-1)+(G10-1)+(I10-1)+(K10-1)+(5-D10)+(5-F10)+(5-H10)+(5-J10)+(5-L10))*2.5</f>
        <v/>
      </c>
    </row>
    <row r="11">
      <c r="A11" s="2" t="n">
        <v>10</v>
      </c>
      <c r="B11" s="2" t="inlineStr">
        <is>
          <t>Kevin Andrés Morales Villacís</t>
        </is>
      </c>
      <c r="C11" s="2" t="n">
        <v>5</v>
      </c>
      <c r="D11" s="2" t="n">
        <v>1</v>
      </c>
      <c r="E11" s="2" t="n">
        <v>5</v>
      </c>
      <c r="F11" s="2" t="n">
        <v>2</v>
      </c>
      <c r="G11" s="2" t="n">
        <v>5</v>
      </c>
      <c r="H11" s="2" t="n">
        <v>1</v>
      </c>
      <c r="I11" s="2" t="n">
        <v>5</v>
      </c>
      <c r="J11" s="2" t="n">
        <v>1</v>
      </c>
      <c r="K11" s="2" t="n">
        <v>5</v>
      </c>
      <c r="L11" s="2" t="n">
        <v>1</v>
      </c>
      <c r="M11" s="2">
        <f>((C11-1)+(E11-1)+(G11-1)+(I11-1)+(K11-1)+(5-D11)+(5-F11)+(5-H11)+(5-J11)+(5-L11))*2.5</f>
        <v/>
      </c>
    </row>
    <row r="12">
      <c r="A12" s="2" t="n">
        <v>11</v>
      </c>
      <c r="B12" s="2" t="inlineStr">
        <is>
          <t>Nelly Patricia Caizabanda Jerez</t>
        </is>
      </c>
      <c r="C12" s="2" t="n">
        <v>5</v>
      </c>
      <c r="D12" s="2" t="n">
        <v>2</v>
      </c>
      <c r="E12" s="2" t="n">
        <v>5</v>
      </c>
      <c r="F12" s="2" t="n">
        <v>2</v>
      </c>
      <c r="G12" s="2" t="n">
        <v>4</v>
      </c>
      <c r="H12" s="2" t="n">
        <v>1</v>
      </c>
      <c r="I12" s="2" t="n">
        <v>5</v>
      </c>
      <c r="J12" s="2" t="n">
        <v>1</v>
      </c>
      <c r="K12" s="2" t="n">
        <v>3</v>
      </c>
      <c r="L12" s="2" t="n">
        <v>1</v>
      </c>
      <c r="M12" s="2">
        <f>((C12-1)+(E12-1)+(G12-1)+(I12-1)+(K12-1)+(5-D12)+(5-F12)+(5-H12)+(5-J12)+(5-L12))*2.5</f>
        <v/>
      </c>
    </row>
    <row r="13">
      <c r="A13" s="2" t="n">
        <v>12</v>
      </c>
      <c r="B13" s="2" t="inlineStr">
        <is>
          <t>Ángel Gustavo Llambo Toalombo</t>
        </is>
      </c>
      <c r="C13" s="2" t="n">
        <v>4</v>
      </c>
      <c r="D13" s="2" t="n">
        <v>2</v>
      </c>
      <c r="E13" s="2" t="n">
        <v>4</v>
      </c>
      <c r="F13" s="2" t="n">
        <v>2</v>
      </c>
      <c r="G13" s="2" t="n">
        <v>5</v>
      </c>
      <c r="H13" s="2" t="n">
        <v>3</v>
      </c>
      <c r="I13" s="2" t="n">
        <v>4</v>
      </c>
      <c r="J13" s="2" t="n">
        <v>1</v>
      </c>
      <c r="K13" s="2" t="n">
        <v>4</v>
      </c>
      <c r="L13" s="2" t="n">
        <v>2</v>
      </c>
      <c r="M13" s="2">
        <f>((C13-1)+(E13-1)+(G13-1)+(I13-1)+(K13-1)+(5-D13)+(5-F13)+(5-H13)+(5-J13)+(5-L13))*2.5</f>
        <v/>
      </c>
    </row>
    <row r="14">
      <c r="A14" s="2" t="n">
        <v>13</v>
      </c>
      <c r="B14" s="2" t="inlineStr">
        <is>
          <t>Evelyn Dayana Toalombo Sisa</t>
        </is>
      </c>
      <c r="C14" s="2" t="n">
        <v>5</v>
      </c>
      <c r="D14" s="2" t="n">
        <v>2</v>
      </c>
      <c r="E14" s="2" t="n">
        <v>5</v>
      </c>
      <c r="F14" s="2" t="n">
        <v>2</v>
      </c>
      <c r="G14" s="2" t="n">
        <v>5</v>
      </c>
      <c r="H14" s="2" t="n">
        <v>2</v>
      </c>
      <c r="I14" s="2" t="n">
        <v>5</v>
      </c>
      <c r="J14" s="2" t="n">
        <v>1</v>
      </c>
      <c r="K14" s="2" t="n">
        <v>5</v>
      </c>
      <c r="L14" s="2" t="n">
        <v>2</v>
      </c>
      <c r="M14" s="2">
        <f>((C14-1)+(E14-1)+(G14-1)+(I14-1)+(K14-1)+(5-D14)+(5-F14)+(5-H14)+(5-J14)+(5-L14))*2.5</f>
        <v/>
      </c>
    </row>
    <row r="15">
      <c r="A15" s="2" t="n">
        <v>14</v>
      </c>
      <c r="B15" s="2" t="inlineStr">
        <is>
          <t>Marco Vinicio Chicaiza Núñez</t>
        </is>
      </c>
      <c r="C15" s="2" t="n">
        <v>4</v>
      </c>
      <c r="D15" s="2" t="n">
        <v>2</v>
      </c>
      <c r="E15" s="2" t="n">
        <v>5</v>
      </c>
      <c r="F15" s="2" t="n">
        <v>3</v>
      </c>
      <c r="G15" s="2" t="n">
        <v>5</v>
      </c>
      <c r="H15" s="2" t="n">
        <v>2</v>
      </c>
      <c r="I15" s="2" t="n">
        <v>5</v>
      </c>
      <c r="J15" s="2" t="n">
        <v>1</v>
      </c>
      <c r="K15" s="2" t="n">
        <v>4</v>
      </c>
      <c r="L15" s="2" t="n">
        <v>2</v>
      </c>
      <c r="M15" s="2">
        <f>((C15-1)+(E15-1)+(G15-1)+(I15-1)+(K15-1)+(5-D15)+(5-F15)+(5-H15)+(5-J15)+(5-L15))*2.5</f>
        <v/>
      </c>
    </row>
    <row r="16">
      <c r="A16" s="2" t="n">
        <v>15</v>
      </c>
      <c r="B16" s="2" t="inlineStr">
        <is>
          <t>Inés Margarita Pandi Lligalo</t>
        </is>
      </c>
      <c r="C16" s="2" t="n">
        <v>3</v>
      </c>
      <c r="D16" s="2" t="n">
        <v>2</v>
      </c>
      <c r="E16" s="2" t="n">
        <v>4</v>
      </c>
      <c r="F16" s="2" t="n">
        <v>2</v>
      </c>
      <c r="G16" s="2" t="n">
        <v>3</v>
      </c>
      <c r="H16" s="2" t="n">
        <v>3</v>
      </c>
      <c r="I16" s="2" t="n">
        <v>3</v>
      </c>
      <c r="J16" s="2" t="n">
        <v>3</v>
      </c>
      <c r="K16" s="2" t="n">
        <v>4</v>
      </c>
      <c r="L16" s="2" t="n">
        <v>2</v>
      </c>
      <c r="M16" s="2">
        <f>((C16-1)+(E16-1)+(G16-1)+(I16-1)+(K16-1)+(5-D16)+(5-F16)+(5-H16)+(5-J16)+(5-L16))*2.5</f>
        <v/>
      </c>
    </row>
    <row r="17">
      <c r="A17" s="3" t="inlineStr"/>
      <c r="B17" s="3" t="inlineStr">
        <is>
          <t>MEDIA</t>
        </is>
      </c>
      <c r="C17" s="3">
        <f>AVERAGE(C2:C16)</f>
        <v/>
      </c>
      <c r="D17" s="3">
        <f>AVERAGE(D2:D16)</f>
        <v/>
      </c>
      <c r="E17" s="3">
        <f>AVERAGE(E2:E16)</f>
        <v/>
      </c>
      <c r="F17" s="3">
        <f>AVERAGE(F2:F16)</f>
        <v/>
      </c>
      <c r="G17" s="3">
        <f>AVERAGE(G2:G16)</f>
        <v/>
      </c>
      <c r="H17" s="3">
        <f>AVERAGE(H2:H16)</f>
        <v/>
      </c>
      <c r="I17" s="3">
        <f>AVERAGE(I2:I16)</f>
        <v/>
      </c>
      <c r="J17" s="3">
        <f>AVERAGE(J2:J16)</f>
        <v/>
      </c>
      <c r="K17" s="3">
        <f>AVERAGE(K2:K16)</f>
        <v/>
      </c>
      <c r="L17" s="3">
        <f>AVERAGE(L2:L16)</f>
        <v/>
      </c>
      <c r="M17" s="3">
        <f>AVERAGE(M2:M16)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36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N°</t>
        </is>
      </c>
      <c r="B1" s="1" t="inlineStr">
        <is>
          <t>Participante</t>
        </is>
      </c>
      <c r="C1" s="1" t="inlineStr">
        <is>
          <t>Ítem 1</t>
        </is>
      </c>
      <c r="D1" s="1" t="inlineStr">
        <is>
          <t>Ítem 2</t>
        </is>
      </c>
      <c r="E1" s="1" t="inlineStr">
        <is>
          <t>Ítem 3</t>
        </is>
      </c>
      <c r="F1" s="1" t="inlineStr">
        <is>
          <t>Ítem 4</t>
        </is>
      </c>
      <c r="G1" s="1" t="inlineStr">
        <is>
          <t>Ítem 5</t>
        </is>
      </c>
      <c r="H1" s="1" t="inlineStr">
        <is>
          <t>Ítem 6</t>
        </is>
      </c>
      <c r="I1" s="1" t="inlineStr">
        <is>
          <t>Ítem 7</t>
        </is>
      </c>
      <c r="J1" s="1" t="inlineStr">
        <is>
          <t>Ítem 8</t>
        </is>
      </c>
      <c r="K1" s="1" t="inlineStr">
        <is>
          <t>Ítem 9</t>
        </is>
      </c>
      <c r="L1" s="1" t="inlineStr">
        <is>
          <t>Ítem 10</t>
        </is>
      </c>
      <c r="M1" s="1" t="inlineStr">
        <is>
          <t>Ítem 11</t>
        </is>
      </c>
      <c r="N1" s="1" t="inlineStr">
        <is>
          <t>Ítem 12</t>
        </is>
      </c>
      <c r="O1" s="1" t="inlineStr">
        <is>
          <t>Ítem 13</t>
        </is>
      </c>
      <c r="P1" s="1" t="inlineStr">
        <is>
          <t>Ítem 14</t>
        </is>
      </c>
      <c r="Q1" s="1" t="inlineStr">
        <is>
          <t>Ítem 15</t>
        </is>
      </c>
      <c r="R1" s="1" t="inlineStr">
        <is>
          <t>Ítem 16</t>
        </is>
      </c>
      <c r="S1" s="1" t="inlineStr">
        <is>
          <t>SYSUSE (1-6)</t>
        </is>
      </c>
      <c r="T1" s="1" t="inlineStr">
        <is>
          <t>INFOQUAL (7-12)</t>
        </is>
      </c>
      <c r="U1" s="1" t="inlineStr">
        <is>
          <t>INTQUAL (13-15)</t>
        </is>
      </c>
      <c r="V1" s="1" t="inlineStr">
        <is>
          <t>OVERALL (1-16)</t>
        </is>
      </c>
    </row>
    <row r="2">
      <c r="A2" s="2" t="n">
        <v>1</v>
      </c>
      <c r="B2" s="2" t="inlineStr">
        <is>
          <t>María Dolores Quishpe Toapanta</t>
        </is>
      </c>
      <c r="C2" s="2" t="n">
        <v>3</v>
      </c>
      <c r="D2" s="2" t="n">
        <v>2</v>
      </c>
      <c r="E2" s="2" t="n">
        <v>1</v>
      </c>
      <c r="F2" s="2" t="n">
        <v>3</v>
      </c>
      <c r="G2" s="2" t="n">
        <v>3</v>
      </c>
      <c r="H2" s="2" t="n">
        <v>3</v>
      </c>
      <c r="I2" s="2" t="n">
        <v>3</v>
      </c>
      <c r="J2" s="2" t="n">
        <v>4</v>
      </c>
      <c r="K2" s="2" t="n">
        <v>3</v>
      </c>
      <c r="L2" s="2" t="n">
        <v>4</v>
      </c>
      <c r="M2" s="2" t="n">
        <v>4</v>
      </c>
      <c r="N2" s="2" t="n">
        <v>4</v>
      </c>
      <c r="O2" s="2" t="n">
        <v>2</v>
      </c>
      <c r="P2" s="2" t="n">
        <v>4</v>
      </c>
      <c r="Q2" s="2" t="n">
        <v>3</v>
      </c>
      <c r="R2" s="2" t="n">
        <v>2</v>
      </c>
      <c r="S2" s="2">
        <f>AVERAGE(C2:H2)</f>
        <v/>
      </c>
      <c r="T2" s="2">
        <f>AVERAGE(I2:N2)</f>
        <v/>
      </c>
      <c r="U2" s="2">
        <f>AVERAGE(O2:Q2)</f>
        <v/>
      </c>
      <c r="V2" s="2">
        <f>AVERAGE(C2:R2)</f>
        <v/>
      </c>
    </row>
    <row r="3">
      <c r="A3" s="2" t="n">
        <v>2</v>
      </c>
      <c r="B3" s="2" t="inlineStr">
        <is>
          <t>José Manuel Chango Pilamunga</t>
        </is>
      </c>
      <c r="C3" s="2" t="n">
        <v>2</v>
      </c>
      <c r="D3" s="2" t="n">
        <v>3</v>
      </c>
      <c r="E3" s="2" t="n">
        <v>2</v>
      </c>
      <c r="F3" s="2" t="n">
        <v>2</v>
      </c>
      <c r="G3" s="2" t="n">
        <v>3</v>
      </c>
      <c r="H3" s="2" t="n">
        <v>2</v>
      </c>
      <c r="I3" s="2" t="n">
        <v>2</v>
      </c>
      <c r="J3" s="2" t="n">
        <v>3</v>
      </c>
      <c r="K3" s="2" t="n">
        <v>3</v>
      </c>
      <c r="L3" s="2" t="n">
        <v>3</v>
      </c>
      <c r="M3" s="2" t="n">
        <v>4</v>
      </c>
      <c r="N3" s="2" t="n">
        <v>4</v>
      </c>
      <c r="O3" s="2" t="n">
        <v>1</v>
      </c>
      <c r="P3" s="2" t="n">
        <v>2</v>
      </c>
      <c r="Q3" s="2" t="n">
        <v>3</v>
      </c>
      <c r="R3" s="2" t="n">
        <v>1</v>
      </c>
      <c r="S3" s="2">
        <f>AVERAGE(C3:H3)</f>
        <v/>
      </c>
      <c r="T3" s="2">
        <f>AVERAGE(I3:N3)</f>
        <v/>
      </c>
      <c r="U3" s="2">
        <f>AVERAGE(O3:Q3)</f>
        <v/>
      </c>
      <c r="V3" s="2">
        <f>AVERAGE(C3:R3)</f>
        <v/>
      </c>
    </row>
    <row r="4">
      <c r="A4" s="2" t="n">
        <v>3</v>
      </c>
      <c r="B4" s="2" t="inlineStr">
        <is>
          <t>Rosa Elena Tisalema Masaquiza</t>
        </is>
      </c>
      <c r="C4" s="2" t="n">
        <v>3</v>
      </c>
      <c r="D4" s="2" t="n">
        <v>3</v>
      </c>
      <c r="E4" s="2" t="n">
        <v>2</v>
      </c>
      <c r="F4" s="2" t="n">
        <v>3</v>
      </c>
      <c r="G4" s="2" t="n">
        <v>3</v>
      </c>
      <c r="H4" s="2" t="n">
        <v>3</v>
      </c>
      <c r="I4" s="2" t="n">
        <v>4</v>
      </c>
      <c r="J4" s="2" t="n">
        <v>5</v>
      </c>
      <c r="K4" s="2" t="n">
        <v>3</v>
      </c>
      <c r="L4" s="2" t="n">
        <v>4</v>
      </c>
      <c r="M4" s="2" t="n">
        <v>4</v>
      </c>
      <c r="N4" s="2" t="n">
        <v>6</v>
      </c>
      <c r="O4" s="2" t="n">
        <v>2</v>
      </c>
      <c r="P4" s="2" t="n">
        <v>3</v>
      </c>
      <c r="Q4" s="2" t="n">
        <v>4</v>
      </c>
      <c r="R4" s="2" t="n">
        <v>3</v>
      </c>
      <c r="S4" s="2">
        <f>AVERAGE(C4:H4)</f>
        <v/>
      </c>
      <c r="T4" s="2">
        <f>AVERAGE(I4:N4)</f>
        <v/>
      </c>
      <c r="U4" s="2">
        <f>AVERAGE(O4:Q4)</f>
        <v/>
      </c>
      <c r="V4" s="2">
        <f>AVERAGE(C4:R4)</f>
        <v/>
      </c>
    </row>
    <row r="5">
      <c r="A5" s="2" t="n">
        <v>4</v>
      </c>
      <c r="B5" s="2" t="inlineStr">
        <is>
          <t>Luis Alfredo Pacari Guamán</t>
        </is>
      </c>
      <c r="C5" s="2" t="n">
        <v>3</v>
      </c>
      <c r="D5" s="2" t="n">
        <v>2</v>
      </c>
      <c r="E5" s="2" t="n">
        <v>4</v>
      </c>
      <c r="F5" s="2" t="n">
        <v>2</v>
      </c>
      <c r="G5" s="2" t="n">
        <v>2</v>
      </c>
      <c r="H5" s="2" t="n">
        <v>2</v>
      </c>
      <c r="I5" s="2" t="n">
        <v>3</v>
      </c>
      <c r="J5" s="2" t="n">
        <v>3</v>
      </c>
      <c r="K5" s="2" t="n">
        <v>3</v>
      </c>
      <c r="L5" s="2" t="n">
        <v>3</v>
      </c>
      <c r="M5" s="2" t="n">
        <v>2</v>
      </c>
      <c r="N5" s="2" t="n">
        <v>4</v>
      </c>
      <c r="O5" s="2" t="n">
        <v>2</v>
      </c>
      <c r="P5" s="2" t="n">
        <v>3</v>
      </c>
      <c r="Q5" s="2" t="n">
        <v>2</v>
      </c>
      <c r="R5" s="2" t="n">
        <v>2</v>
      </c>
      <c r="S5" s="2">
        <f>AVERAGE(C5:H5)</f>
        <v/>
      </c>
      <c r="T5" s="2">
        <f>AVERAGE(I5:N5)</f>
        <v/>
      </c>
      <c r="U5" s="2">
        <f>AVERAGE(O5:Q5)</f>
        <v/>
      </c>
      <c r="V5" s="2">
        <f>AVERAGE(C5:R5)</f>
        <v/>
      </c>
    </row>
    <row r="6">
      <c r="A6" s="2" t="n">
        <v>5</v>
      </c>
      <c r="B6" s="2" t="inlineStr">
        <is>
          <t>Carmen Lucía Yanchaliquín López</t>
        </is>
      </c>
      <c r="C6" s="2" t="n">
        <v>4</v>
      </c>
      <c r="D6" s="2" t="n">
        <v>1</v>
      </c>
      <c r="E6" s="2" t="n">
        <v>1</v>
      </c>
      <c r="F6" s="2" t="n">
        <v>2</v>
      </c>
      <c r="G6" s="2" t="n">
        <v>2</v>
      </c>
      <c r="H6" s="2" t="n">
        <v>2</v>
      </c>
      <c r="I6" s="2" t="n">
        <v>4</v>
      </c>
      <c r="J6" s="2" t="n">
        <v>3</v>
      </c>
      <c r="K6" s="2" t="n">
        <v>2</v>
      </c>
      <c r="L6" s="2" t="n">
        <v>3</v>
      </c>
      <c r="M6" s="2" t="n">
        <v>4</v>
      </c>
      <c r="N6" s="2" t="n">
        <v>3</v>
      </c>
      <c r="O6" s="2" t="n">
        <v>1</v>
      </c>
      <c r="P6" s="2" t="n">
        <v>2</v>
      </c>
      <c r="Q6" s="2" t="n">
        <v>4</v>
      </c>
      <c r="R6" s="2" t="n">
        <v>3</v>
      </c>
      <c r="S6" s="2">
        <f>AVERAGE(C6:H6)</f>
        <v/>
      </c>
      <c r="T6" s="2">
        <f>AVERAGE(I6:N6)</f>
        <v/>
      </c>
      <c r="U6" s="2">
        <f>AVERAGE(O6:Q6)</f>
        <v/>
      </c>
      <c r="V6" s="2">
        <f>AVERAGE(C6:R6)</f>
        <v/>
      </c>
    </row>
    <row r="7">
      <c r="A7" s="2" t="n">
        <v>6</v>
      </c>
      <c r="B7" s="2" t="inlineStr">
        <is>
          <t>Segundo Rafael Curichumbi Yupanqui</t>
        </is>
      </c>
      <c r="C7" s="2" t="n">
        <v>4</v>
      </c>
      <c r="D7" s="2" t="n">
        <v>3</v>
      </c>
      <c r="E7" s="2" t="n">
        <v>2</v>
      </c>
      <c r="F7" s="2" t="n">
        <v>3</v>
      </c>
      <c r="G7" s="2" t="n">
        <v>3</v>
      </c>
      <c r="H7" s="2" t="n">
        <v>3</v>
      </c>
      <c r="I7" s="2" t="n">
        <v>5</v>
      </c>
      <c r="J7" s="2" t="n">
        <v>4</v>
      </c>
      <c r="K7" s="2" t="n">
        <v>3</v>
      </c>
      <c r="L7" s="2" t="n">
        <v>4</v>
      </c>
      <c r="M7" s="2" t="n">
        <v>3</v>
      </c>
      <c r="N7" s="2" t="n">
        <v>5</v>
      </c>
      <c r="O7" s="2" t="n">
        <v>1</v>
      </c>
      <c r="P7" s="2" t="n">
        <v>3</v>
      </c>
      <c r="Q7" s="2" t="n">
        <v>4</v>
      </c>
      <c r="R7" s="2" t="n">
        <v>4</v>
      </c>
      <c r="S7" s="2">
        <f>AVERAGE(C7:H7)</f>
        <v/>
      </c>
      <c r="T7" s="2">
        <f>AVERAGE(I7:N7)</f>
        <v/>
      </c>
      <c r="U7" s="2">
        <f>AVERAGE(O7:Q7)</f>
        <v/>
      </c>
      <c r="V7" s="2">
        <f>AVERAGE(C7:R7)</f>
        <v/>
      </c>
    </row>
    <row r="8">
      <c r="A8" s="2" t="n">
        <v>7</v>
      </c>
      <c r="B8" s="2" t="inlineStr">
        <is>
          <t>Verónica Alexandra Sailema Chango</t>
        </is>
      </c>
      <c r="C8" s="2" t="n">
        <v>2</v>
      </c>
      <c r="D8" s="2" t="n">
        <v>2</v>
      </c>
      <c r="E8" s="2" t="n">
        <v>1</v>
      </c>
      <c r="F8" s="2" t="n">
        <v>1</v>
      </c>
      <c r="G8" s="2" t="n">
        <v>1</v>
      </c>
      <c r="H8" s="2" t="n">
        <v>3</v>
      </c>
      <c r="I8" s="2" t="n">
        <v>3</v>
      </c>
      <c r="J8" s="2" t="n">
        <v>3</v>
      </c>
      <c r="K8" s="2" t="n">
        <v>5</v>
      </c>
      <c r="L8" s="2" t="n">
        <v>2</v>
      </c>
      <c r="M8" s="2" t="n">
        <v>3</v>
      </c>
      <c r="N8" s="2" t="n">
        <v>3</v>
      </c>
      <c r="O8" s="2" t="n">
        <v>1</v>
      </c>
      <c r="P8" s="2" t="n">
        <v>3</v>
      </c>
      <c r="Q8" s="2" t="n">
        <v>3</v>
      </c>
      <c r="R8" s="2" t="n">
        <v>1</v>
      </c>
      <c r="S8" s="2">
        <f>AVERAGE(C8:H8)</f>
        <v/>
      </c>
      <c r="T8" s="2">
        <f>AVERAGE(I8:N8)</f>
        <v/>
      </c>
      <c r="U8" s="2">
        <f>AVERAGE(O8:Q8)</f>
        <v/>
      </c>
      <c r="V8" s="2">
        <f>AVERAGE(C8:R8)</f>
        <v/>
      </c>
    </row>
    <row r="9">
      <c r="A9" s="2" t="n">
        <v>8</v>
      </c>
      <c r="B9" s="2" t="inlineStr">
        <is>
          <t>Diego Armando Punina Iza</t>
        </is>
      </c>
      <c r="C9" s="2" t="n">
        <v>1</v>
      </c>
      <c r="D9" s="2" t="n">
        <v>2</v>
      </c>
      <c r="E9" s="2" t="n">
        <v>2</v>
      </c>
      <c r="F9" s="2" t="n">
        <v>1</v>
      </c>
      <c r="G9" s="2" t="n">
        <v>1</v>
      </c>
      <c r="H9" s="2" t="n">
        <v>1</v>
      </c>
      <c r="I9" s="2" t="n">
        <v>3</v>
      </c>
      <c r="J9" s="2" t="n">
        <v>3</v>
      </c>
      <c r="K9" s="2" t="n">
        <v>3</v>
      </c>
      <c r="L9" s="2" t="n">
        <v>2</v>
      </c>
      <c r="M9" s="2" t="n">
        <v>2</v>
      </c>
      <c r="N9" s="2" t="n">
        <v>1</v>
      </c>
      <c r="O9" s="2" t="n">
        <v>2</v>
      </c>
      <c r="P9" s="2" t="n">
        <v>2</v>
      </c>
      <c r="Q9" s="2" t="n">
        <v>3</v>
      </c>
      <c r="R9" s="2" t="n">
        <v>2</v>
      </c>
      <c r="S9" s="2">
        <f>AVERAGE(C9:H9)</f>
        <v/>
      </c>
      <c r="T9" s="2">
        <f>AVERAGE(I9:N9)</f>
        <v/>
      </c>
      <c r="U9" s="2">
        <f>AVERAGE(O9:Q9)</f>
        <v/>
      </c>
      <c r="V9" s="2">
        <f>AVERAGE(C9:R9)</f>
        <v/>
      </c>
    </row>
    <row r="10">
      <c r="A10" s="2" t="n">
        <v>9</v>
      </c>
      <c r="B10" s="2" t="inlineStr">
        <is>
          <t>Blanca Cecilia Mullo Chicaiza</t>
        </is>
      </c>
      <c r="C10" s="2" t="n">
        <v>2</v>
      </c>
      <c r="D10" s="2" t="n">
        <v>3</v>
      </c>
      <c r="E10" s="2" t="n">
        <v>2</v>
      </c>
      <c r="F10" s="2" t="n">
        <v>2</v>
      </c>
      <c r="G10" s="2" t="n">
        <v>2</v>
      </c>
      <c r="H10" s="2" t="n">
        <v>2</v>
      </c>
      <c r="I10" s="2" t="n">
        <v>2</v>
      </c>
      <c r="J10" s="2" t="n">
        <v>3</v>
      </c>
      <c r="K10" s="2" t="n">
        <v>3</v>
      </c>
      <c r="L10" s="2" t="n">
        <v>3</v>
      </c>
      <c r="M10" s="2" t="n">
        <v>3</v>
      </c>
      <c r="N10" s="2" t="n">
        <v>3</v>
      </c>
      <c r="O10" s="2" t="n">
        <v>3</v>
      </c>
      <c r="P10" s="2" t="n">
        <v>2</v>
      </c>
      <c r="Q10" s="2" t="n">
        <v>3</v>
      </c>
      <c r="R10" s="2" t="n">
        <v>2</v>
      </c>
      <c r="S10" s="2">
        <f>AVERAGE(C10:H10)</f>
        <v/>
      </c>
      <c r="T10" s="2">
        <f>AVERAGE(I10:N10)</f>
        <v/>
      </c>
      <c r="U10" s="2">
        <f>AVERAGE(O10:Q10)</f>
        <v/>
      </c>
      <c r="V10" s="2">
        <f>AVERAGE(C10:R10)</f>
        <v/>
      </c>
    </row>
    <row r="11">
      <c r="A11" s="2" t="n">
        <v>10</v>
      </c>
      <c r="B11" s="2" t="inlineStr">
        <is>
          <t>Kevin Andrés Morales Villacís</t>
        </is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3</v>
      </c>
      <c r="H11" s="2" t="n">
        <v>2</v>
      </c>
      <c r="I11" s="2" t="n">
        <v>3</v>
      </c>
      <c r="J11" s="2" t="n">
        <v>2</v>
      </c>
      <c r="K11" s="2" t="n">
        <v>3</v>
      </c>
      <c r="L11" s="2" t="n">
        <v>2</v>
      </c>
      <c r="M11" s="2" t="n">
        <v>3</v>
      </c>
      <c r="N11" s="2" t="n">
        <v>3</v>
      </c>
      <c r="O11" s="2" t="n">
        <v>1</v>
      </c>
      <c r="P11" s="2" t="n">
        <v>3</v>
      </c>
      <c r="Q11" s="2" t="n">
        <v>3</v>
      </c>
      <c r="R11" s="2" t="n">
        <v>1</v>
      </c>
      <c r="S11" s="2">
        <f>AVERAGE(C11:H11)</f>
        <v/>
      </c>
      <c r="T11" s="2">
        <f>AVERAGE(I11:N11)</f>
        <v/>
      </c>
      <c r="U11" s="2">
        <f>AVERAGE(O11:Q11)</f>
        <v/>
      </c>
      <c r="V11" s="2">
        <f>AVERAGE(C11:R11)</f>
        <v/>
      </c>
    </row>
    <row r="12">
      <c r="A12" s="2" t="n">
        <v>11</v>
      </c>
      <c r="B12" s="2" t="inlineStr">
        <is>
          <t>Nelly Patricia Caizabanda Jerez</t>
        </is>
      </c>
      <c r="C12" s="2" t="n">
        <v>2</v>
      </c>
      <c r="D12" s="2" t="n">
        <v>2</v>
      </c>
      <c r="E12" s="2" t="n">
        <v>2</v>
      </c>
      <c r="F12" s="2" t="n">
        <v>2</v>
      </c>
      <c r="G12" s="2" t="n">
        <v>2</v>
      </c>
      <c r="H12" s="2" t="n">
        <v>1</v>
      </c>
      <c r="I12" s="2" t="n">
        <v>2</v>
      </c>
      <c r="J12" s="2" t="n">
        <v>4</v>
      </c>
      <c r="K12" s="2" t="n">
        <v>4</v>
      </c>
      <c r="L12" s="2" t="n">
        <v>4</v>
      </c>
      <c r="M12" s="2" t="n">
        <v>4</v>
      </c>
      <c r="N12" s="2" t="n">
        <v>2</v>
      </c>
      <c r="O12" s="2" t="n">
        <v>2</v>
      </c>
      <c r="P12" s="2" t="n">
        <v>1</v>
      </c>
      <c r="Q12" s="2" t="n">
        <v>4</v>
      </c>
      <c r="R12" s="2" t="n">
        <v>2</v>
      </c>
      <c r="S12" s="2">
        <f>AVERAGE(C12:H12)</f>
        <v/>
      </c>
      <c r="T12" s="2">
        <f>AVERAGE(I12:N12)</f>
        <v/>
      </c>
      <c r="U12" s="2">
        <f>AVERAGE(O12:Q12)</f>
        <v/>
      </c>
      <c r="V12" s="2">
        <f>AVERAGE(C12:R12)</f>
        <v/>
      </c>
    </row>
    <row r="13">
      <c r="A13" s="2" t="n">
        <v>12</v>
      </c>
      <c r="B13" s="2" t="inlineStr">
        <is>
          <t>Ángel Gustavo Llambo Toalombo</t>
        </is>
      </c>
      <c r="C13" s="2" t="n">
        <v>1</v>
      </c>
      <c r="D13" s="2" t="n">
        <v>4</v>
      </c>
      <c r="E13" s="2" t="n">
        <v>3</v>
      </c>
      <c r="F13" s="2" t="n">
        <v>1</v>
      </c>
      <c r="G13" s="2" t="n">
        <v>2</v>
      </c>
      <c r="H13" s="2" t="n">
        <v>2</v>
      </c>
      <c r="I13" s="2" t="n">
        <v>3</v>
      </c>
      <c r="J13" s="2" t="n">
        <v>3</v>
      </c>
      <c r="K13" s="2" t="n">
        <v>4</v>
      </c>
      <c r="L13" s="2" t="n">
        <v>2</v>
      </c>
      <c r="M13" s="2" t="n">
        <v>3</v>
      </c>
      <c r="N13" s="2" t="n">
        <v>4</v>
      </c>
      <c r="O13" s="2" t="n">
        <v>2</v>
      </c>
      <c r="P13" s="2" t="n">
        <v>2</v>
      </c>
      <c r="Q13" s="2" t="n">
        <v>3</v>
      </c>
      <c r="R13" s="2" t="n">
        <v>2</v>
      </c>
      <c r="S13" s="2">
        <f>AVERAGE(C13:H13)</f>
        <v/>
      </c>
      <c r="T13" s="2">
        <f>AVERAGE(I13:N13)</f>
        <v/>
      </c>
      <c r="U13" s="2">
        <f>AVERAGE(O13:Q13)</f>
        <v/>
      </c>
      <c r="V13" s="2">
        <f>AVERAGE(C13:R13)</f>
        <v/>
      </c>
    </row>
    <row r="14">
      <c r="A14" s="2" t="n">
        <v>13</v>
      </c>
      <c r="B14" s="2" t="inlineStr">
        <is>
          <t>Evelyn Dayana Toalombo Sisa</t>
        </is>
      </c>
      <c r="C14" s="2" t="n">
        <v>2</v>
      </c>
      <c r="D14" s="2" t="n">
        <v>2</v>
      </c>
      <c r="E14" s="2" t="n">
        <v>1</v>
      </c>
      <c r="F14" s="2" t="n">
        <v>3</v>
      </c>
      <c r="G14" s="2" t="n">
        <v>2</v>
      </c>
      <c r="H14" s="2" t="n">
        <v>2</v>
      </c>
      <c r="I14" s="2" t="n">
        <v>2</v>
      </c>
      <c r="J14" s="2" t="n">
        <v>2</v>
      </c>
      <c r="K14" s="2" t="n">
        <v>3</v>
      </c>
      <c r="L14" s="2" t="n">
        <v>3</v>
      </c>
      <c r="M14" s="2" t="n">
        <v>3</v>
      </c>
      <c r="N14" s="2" t="n">
        <v>3</v>
      </c>
      <c r="O14" s="2" t="n">
        <v>2</v>
      </c>
      <c r="P14" s="2" t="n">
        <v>1</v>
      </c>
      <c r="Q14" s="2" t="n">
        <v>3</v>
      </c>
      <c r="R14" s="2" t="n">
        <v>1</v>
      </c>
      <c r="S14" s="2">
        <f>AVERAGE(C14:H14)</f>
        <v/>
      </c>
      <c r="T14" s="2">
        <f>AVERAGE(I14:N14)</f>
        <v/>
      </c>
      <c r="U14" s="2">
        <f>AVERAGE(O14:Q14)</f>
        <v/>
      </c>
      <c r="V14" s="2">
        <f>AVERAGE(C14:R14)</f>
        <v/>
      </c>
    </row>
    <row r="15">
      <c r="A15" s="2" t="n">
        <v>14</v>
      </c>
      <c r="B15" s="2" t="inlineStr">
        <is>
          <t>Marco Vinicio Chicaiza Núñez</t>
        </is>
      </c>
      <c r="C15" s="2" t="n">
        <v>3</v>
      </c>
      <c r="D15" s="2" t="n">
        <v>3</v>
      </c>
      <c r="E15" s="2" t="n">
        <v>2</v>
      </c>
      <c r="F15" s="2" t="n">
        <v>2</v>
      </c>
      <c r="G15" s="2" t="n">
        <v>1</v>
      </c>
      <c r="H15" s="2" t="n">
        <v>2</v>
      </c>
      <c r="I15" s="2" t="n">
        <v>2</v>
      </c>
      <c r="J15" s="2" t="n">
        <v>4</v>
      </c>
      <c r="K15" s="2" t="n">
        <v>3</v>
      </c>
      <c r="L15" s="2" t="n">
        <v>4</v>
      </c>
      <c r="M15" s="2" t="n">
        <v>5</v>
      </c>
      <c r="N15" s="2" t="n">
        <v>3</v>
      </c>
      <c r="O15" s="2" t="n">
        <v>1</v>
      </c>
      <c r="P15" s="2" t="n">
        <v>2</v>
      </c>
      <c r="Q15" s="2" t="n">
        <v>3</v>
      </c>
      <c r="R15" s="2" t="n">
        <v>1</v>
      </c>
      <c r="S15" s="2">
        <f>AVERAGE(C15:H15)</f>
        <v/>
      </c>
      <c r="T15" s="2">
        <f>AVERAGE(I15:N15)</f>
        <v/>
      </c>
      <c r="U15" s="2">
        <f>AVERAGE(O15:Q15)</f>
        <v/>
      </c>
      <c r="V15" s="2">
        <f>AVERAGE(C15:R15)</f>
        <v/>
      </c>
    </row>
    <row r="16">
      <c r="A16" s="2" t="n">
        <v>15</v>
      </c>
      <c r="B16" s="2" t="inlineStr">
        <is>
          <t>Inés Margarita Pandi Lligalo</t>
        </is>
      </c>
      <c r="C16" s="2" t="n">
        <v>3</v>
      </c>
      <c r="D16" s="2" t="n">
        <v>3</v>
      </c>
      <c r="E16" s="2" t="n">
        <v>2</v>
      </c>
      <c r="F16" s="2" t="n">
        <v>2</v>
      </c>
      <c r="G16" s="2" t="n">
        <v>2</v>
      </c>
      <c r="H16" s="2" t="n">
        <v>4</v>
      </c>
      <c r="I16" s="2" t="n">
        <v>4</v>
      </c>
      <c r="J16" s="2" t="n">
        <v>3</v>
      </c>
      <c r="K16" s="2" t="n">
        <v>3</v>
      </c>
      <c r="L16" s="2" t="n">
        <v>4</v>
      </c>
      <c r="M16" s="2" t="n">
        <v>3</v>
      </c>
      <c r="N16" s="2" t="n">
        <v>4</v>
      </c>
      <c r="O16" s="2" t="n">
        <v>3</v>
      </c>
      <c r="P16" s="2" t="n">
        <v>3</v>
      </c>
      <c r="Q16" s="2" t="n">
        <v>5</v>
      </c>
      <c r="R16" s="2" t="n">
        <v>2</v>
      </c>
      <c r="S16" s="2">
        <f>AVERAGE(C16:H16)</f>
        <v/>
      </c>
      <c r="T16" s="2">
        <f>AVERAGE(I16:N16)</f>
        <v/>
      </c>
      <c r="U16" s="2">
        <f>AVERAGE(O16:Q16)</f>
        <v/>
      </c>
      <c r="V16" s="2">
        <f>AVERAGE(C16:R16)</f>
        <v/>
      </c>
    </row>
    <row r="17">
      <c r="A17" s="3" t="inlineStr"/>
      <c r="B17" s="3" t="inlineStr">
        <is>
          <t>MEDIA</t>
        </is>
      </c>
      <c r="C17" s="3">
        <f>AVERAGE(C2:C16)</f>
        <v/>
      </c>
      <c r="D17" s="3">
        <f>AVERAGE(D2:D16)</f>
        <v/>
      </c>
      <c r="E17" s="3">
        <f>AVERAGE(E2:E16)</f>
        <v/>
      </c>
      <c r="F17" s="3">
        <f>AVERAGE(F2:F16)</f>
        <v/>
      </c>
      <c r="G17" s="3">
        <f>AVERAGE(G2:G16)</f>
        <v/>
      </c>
      <c r="H17" s="3">
        <f>AVERAGE(H2:H16)</f>
        <v/>
      </c>
      <c r="I17" s="3">
        <f>AVERAGE(I2:I16)</f>
        <v/>
      </c>
      <c r="J17" s="3">
        <f>AVERAGE(J2:J16)</f>
        <v/>
      </c>
      <c r="K17" s="3">
        <f>AVERAGE(K2:K16)</f>
        <v/>
      </c>
      <c r="L17" s="3">
        <f>AVERAGE(L2:L16)</f>
        <v/>
      </c>
      <c r="M17" s="3">
        <f>AVERAGE(M2:M16)</f>
        <v/>
      </c>
      <c r="N17" s="3">
        <f>AVERAGE(N2:N16)</f>
        <v/>
      </c>
      <c r="O17" s="3">
        <f>AVERAGE(O2:O16)</f>
        <v/>
      </c>
      <c r="P17" s="3">
        <f>AVERAGE(P2:P16)</f>
        <v/>
      </c>
      <c r="Q17" s="3">
        <f>AVERAGE(Q2:Q16)</f>
        <v/>
      </c>
      <c r="R17" s="3">
        <f>AVERAGE(R2:R16)</f>
        <v/>
      </c>
      <c r="S17" s="3">
        <f>AVERAGE(S2:S16)</f>
        <v/>
      </c>
      <c r="T17" s="3">
        <f>AVERAGE(T2:T16)</f>
        <v/>
      </c>
      <c r="U17" s="3">
        <f>AVERAGE(U2:U16)</f>
        <v/>
      </c>
      <c r="V17" s="3">
        <f>AVERAGE(V2:V16)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cols>
    <col width="36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N°</t>
        </is>
      </c>
      <c r="B1" s="1" t="inlineStr">
        <is>
          <t>Participante</t>
        </is>
      </c>
      <c r="C1" s="1" t="inlineStr">
        <is>
          <t>Í1</t>
        </is>
      </c>
      <c r="D1" s="1" t="inlineStr">
        <is>
          <t>Í2</t>
        </is>
      </c>
      <c r="E1" s="1" t="inlineStr">
        <is>
          <t>Í3</t>
        </is>
      </c>
      <c r="F1" s="1" t="inlineStr">
        <is>
          <t>Í4</t>
        </is>
      </c>
      <c r="G1" s="1" t="inlineStr">
        <is>
          <t>Í5</t>
        </is>
      </c>
      <c r="H1" s="1" t="inlineStr">
        <is>
          <t>Í6</t>
        </is>
      </c>
      <c r="I1" s="1" t="inlineStr">
        <is>
          <t>Í7</t>
        </is>
      </c>
      <c r="J1" s="1" t="inlineStr">
        <is>
          <t>Í8</t>
        </is>
      </c>
      <c r="K1" s="1" t="inlineStr">
        <is>
          <t>Í9</t>
        </is>
      </c>
      <c r="L1" s="1" t="inlineStr">
        <is>
          <t>Í10</t>
        </is>
      </c>
      <c r="M1" s="1" t="inlineStr">
        <is>
          <t>Í11</t>
        </is>
      </c>
      <c r="N1" s="1" t="inlineStr">
        <is>
          <t>Í12</t>
        </is>
      </c>
      <c r="O1" s="1" t="inlineStr">
        <is>
          <t>Í13</t>
        </is>
      </c>
      <c r="P1" s="1" t="inlineStr">
        <is>
          <t>Í14</t>
        </is>
      </c>
      <c r="Q1" s="1" t="inlineStr">
        <is>
          <t>Í15</t>
        </is>
      </c>
      <c r="R1" s="1" t="inlineStr">
        <is>
          <t>Í16</t>
        </is>
      </c>
      <c r="S1" s="1" t="inlineStr">
        <is>
          <t>Í17</t>
        </is>
      </c>
      <c r="T1" s="1" t="inlineStr">
        <is>
          <t>Í18</t>
        </is>
      </c>
      <c r="U1" s="1" t="inlineStr">
        <is>
          <t>Í19</t>
        </is>
      </c>
      <c r="V1" s="1" t="inlineStr">
        <is>
          <t>Í20</t>
        </is>
      </c>
      <c r="W1" s="1" t="inlineStr">
        <is>
          <t>Í21</t>
        </is>
      </c>
      <c r="X1" s="1" t="inlineStr">
        <is>
          <t>Í22</t>
        </is>
      </c>
      <c r="Y1" s="1" t="inlineStr">
        <is>
          <t>Í23</t>
        </is>
      </c>
      <c r="Z1" s="1" t="inlineStr">
        <is>
          <t>Í24</t>
        </is>
      </c>
      <c r="AA1" s="1" t="inlineStr">
        <is>
          <t>Í25</t>
        </is>
      </c>
      <c r="AB1" s="1" t="inlineStr">
        <is>
          <t>Í26</t>
        </is>
      </c>
      <c r="AC1" s="1" t="inlineStr">
        <is>
          <t>Atractivo</t>
        </is>
      </c>
      <c r="AD1" s="1" t="inlineStr">
        <is>
          <t>Transparencia</t>
        </is>
      </c>
      <c r="AE1" s="1" t="inlineStr">
        <is>
          <t>Eficiencia</t>
        </is>
      </c>
      <c r="AF1" s="1" t="inlineStr">
        <is>
          <t>Fiabilidad</t>
        </is>
      </c>
      <c r="AG1" s="1" t="inlineStr">
        <is>
          <t>Estimulación</t>
        </is>
      </c>
      <c r="AH1" s="1" t="inlineStr">
        <is>
          <t>Novedad</t>
        </is>
      </c>
    </row>
    <row r="2">
      <c r="A2" s="2" t="n">
        <v>1</v>
      </c>
      <c r="B2" s="2" t="inlineStr">
        <is>
          <t>María Dolores Quishpe Toapanta</t>
        </is>
      </c>
      <c r="C2" s="2" t="n">
        <v>2</v>
      </c>
      <c r="D2" s="2" t="n">
        <v>1</v>
      </c>
      <c r="E2" s="2" t="n">
        <v>1</v>
      </c>
      <c r="F2" s="2" t="n">
        <v>2</v>
      </c>
      <c r="G2" s="2" t="n">
        <v>2</v>
      </c>
      <c r="H2" s="2" t="n">
        <v>1</v>
      </c>
      <c r="I2" s="2" t="n">
        <v>1</v>
      </c>
      <c r="J2" s="2" t="n">
        <v>2</v>
      </c>
      <c r="K2" s="2" t="n">
        <v>1</v>
      </c>
      <c r="L2" s="2" t="n">
        <v>1</v>
      </c>
      <c r="M2" s="2" t="n">
        <v>1</v>
      </c>
      <c r="N2" s="2" t="n">
        <v>2</v>
      </c>
      <c r="O2" s="2" t="n">
        <v>0</v>
      </c>
      <c r="P2" s="2" t="n">
        <v>2</v>
      </c>
      <c r="Q2" s="2" t="n">
        <v>1</v>
      </c>
      <c r="R2" s="2" t="n">
        <v>1</v>
      </c>
      <c r="S2" s="2" t="n">
        <v>2</v>
      </c>
      <c r="T2" s="2" t="n">
        <v>2</v>
      </c>
      <c r="U2" s="2" t="n">
        <v>1</v>
      </c>
      <c r="V2" s="2" t="n">
        <v>1</v>
      </c>
      <c r="W2" s="2" t="n">
        <v>2</v>
      </c>
      <c r="X2" s="2" t="n">
        <v>0</v>
      </c>
      <c r="Y2" s="2" t="n">
        <v>1</v>
      </c>
      <c r="Z2" s="2" t="n">
        <v>1</v>
      </c>
      <c r="AA2" s="2" t="n">
        <v>2</v>
      </c>
      <c r="AB2" s="2" t="n">
        <v>1</v>
      </c>
      <c r="AC2" s="2">
        <f>AVERAGE(C2,N2,P2,R2,Z2,AA2)</f>
        <v/>
      </c>
      <c r="AD2" s="2">
        <f>AVERAGE(D2,F2,O2,W2)</f>
        <v/>
      </c>
      <c r="AE2" s="2">
        <f>AVERAGE(K2,V2,X2,Y2)</f>
        <v/>
      </c>
      <c r="AF2" s="2">
        <f>AVERAGE(J2,M2,S2,U2)</f>
        <v/>
      </c>
      <c r="AG2" s="2">
        <f>AVERAGE(G2,H2,I2,T2)</f>
        <v/>
      </c>
      <c r="AH2" s="2">
        <f>AVERAGE(E2,L2,Q2,AB2)</f>
        <v/>
      </c>
    </row>
    <row r="3">
      <c r="A3" s="2" t="n">
        <v>2</v>
      </c>
      <c r="B3" s="2" t="inlineStr">
        <is>
          <t>José Manuel Chango Pilamunga</t>
        </is>
      </c>
      <c r="C3" s="2" t="n">
        <v>2</v>
      </c>
      <c r="D3" s="2" t="n">
        <v>2</v>
      </c>
      <c r="E3" s="2" t="n">
        <v>2</v>
      </c>
      <c r="F3" s="2" t="n">
        <v>1</v>
      </c>
      <c r="G3" s="2" t="n">
        <v>1</v>
      </c>
      <c r="H3" s="2" t="n">
        <v>2</v>
      </c>
      <c r="I3" s="2" t="n">
        <v>2</v>
      </c>
      <c r="J3" s="2" t="n">
        <v>2</v>
      </c>
      <c r="K3" s="2" t="n">
        <v>1</v>
      </c>
      <c r="L3" s="2" t="n">
        <v>1</v>
      </c>
      <c r="M3" s="2" t="n">
        <v>1</v>
      </c>
      <c r="N3" s="2" t="n">
        <v>2</v>
      </c>
      <c r="O3" s="2" t="n">
        <v>1</v>
      </c>
      <c r="P3" s="2" t="n">
        <v>0</v>
      </c>
      <c r="Q3" s="2" t="n">
        <v>2</v>
      </c>
      <c r="R3" s="2" t="n">
        <v>2</v>
      </c>
      <c r="S3" s="2" t="n">
        <v>2</v>
      </c>
      <c r="T3" s="2" t="n">
        <v>3</v>
      </c>
      <c r="U3" s="2" t="n">
        <v>1</v>
      </c>
      <c r="V3" s="2" t="n">
        <v>1</v>
      </c>
      <c r="W3" s="2" t="n">
        <v>1</v>
      </c>
      <c r="X3" s="2" t="n">
        <v>3</v>
      </c>
      <c r="Y3" s="2" t="n">
        <v>0</v>
      </c>
      <c r="Z3" s="2" t="n">
        <v>2</v>
      </c>
      <c r="AA3" s="2" t="n">
        <v>1</v>
      </c>
      <c r="AB3" s="2" t="n">
        <v>-1</v>
      </c>
      <c r="AC3" s="2">
        <f>AVERAGE(C3,N3,P3,R3,Z3,AA3)</f>
        <v/>
      </c>
      <c r="AD3" s="2">
        <f>AVERAGE(D3,F3,O3,W3)</f>
        <v/>
      </c>
      <c r="AE3" s="2">
        <f>AVERAGE(K3,V3,X3,Y3)</f>
        <v/>
      </c>
      <c r="AF3" s="2">
        <f>AVERAGE(J3,M3,S3,U3)</f>
        <v/>
      </c>
      <c r="AG3" s="2">
        <f>AVERAGE(G3,H3,I3,T3)</f>
        <v/>
      </c>
      <c r="AH3" s="2">
        <f>AVERAGE(E3,L3,Q3,AB3)</f>
        <v/>
      </c>
    </row>
    <row r="4">
      <c r="A4" s="2" t="n">
        <v>3</v>
      </c>
      <c r="B4" s="2" t="inlineStr">
        <is>
          <t>Rosa Elena Tisalema Masaquiza</t>
        </is>
      </c>
      <c r="C4" s="2" t="n">
        <v>0</v>
      </c>
      <c r="D4" s="2" t="n">
        <v>0</v>
      </c>
      <c r="E4" s="2" t="n">
        <v>2</v>
      </c>
      <c r="F4" s="2" t="n">
        <v>0</v>
      </c>
      <c r="G4" s="2" t="n">
        <v>1</v>
      </c>
      <c r="H4" s="2" t="n">
        <v>0</v>
      </c>
      <c r="I4" s="2" t="n">
        <v>2</v>
      </c>
      <c r="J4" s="2" t="n">
        <v>0</v>
      </c>
      <c r="K4" s="2" t="n">
        <v>2</v>
      </c>
      <c r="L4" s="2" t="n">
        <v>0</v>
      </c>
      <c r="M4" s="2" t="n">
        <v>0</v>
      </c>
      <c r="N4" s="2" t="n">
        <v>1</v>
      </c>
      <c r="O4" s="2" t="n">
        <v>1</v>
      </c>
      <c r="P4" s="2" t="n">
        <v>2</v>
      </c>
      <c r="Q4" s="2" t="n">
        <v>1</v>
      </c>
      <c r="R4" s="2" t="n">
        <v>0</v>
      </c>
      <c r="S4" s="2" t="n">
        <v>0</v>
      </c>
      <c r="T4" s="2" t="n">
        <v>1</v>
      </c>
      <c r="U4" s="2" t="n">
        <v>1</v>
      </c>
      <c r="V4" s="2" t="n">
        <v>1</v>
      </c>
      <c r="W4" s="2" t="n">
        <v>1</v>
      </c>
      <c r="X4" s="2" t="n">
        <v>2</v>
      </c>
      <c r="Y4" s="2" t="n">
        <v>0</v>
      </c>
      <c r="Z4" s="2" t="n">
        <v>1</v>
      </c>
      <c r="AA4" s="2" t="n">
        <v>1</v>
      </c>
      <c r="AB4" s="2" t="n">
        <v>2</v>
      </c>
      <c r="AC4" s="2">
        <f>AVERAGE(C4,N4,P4,R4,Z4,AA4)</f>
        <v/>
      </c>
      <c r="AD4" s="2">
        <f>AVERAGE(D4,F4,O4,W4)</f>
        <v/>
      </c>
      <c r="AE4" s="2">
        <f>AVERAGE(K4,V4,X4,Y4)</f>
        <v/>
      </c>
      <c r="AF4" s="2">
        <f>AVERAGE(J4,M4,S4,U4)</f>
        <v/>
      </c>
      <c r="AG4" s="2">
        <f>AVERAGE(G4,H4,I4,T4)</f>
        <v/>
      </c>
      <c r="AH4" s="2">
        <f>AVERAGE(E4,L4,Q4,AB4)</f>
        <v/>
      </c>
    </row>
    <row r="5">
      <c r="A5" s="2" t="n">
        <v>4</v>
      </c>
      <c r="B5" s="2" t="inlineStr">
        <is>
          <t>Luis Alfredo Pacari Guamán</t>
        </is>
      </c>
      <c r="C5" s="2" t="n">
        <v>2</v>
      </c>
      <c r="D5" s="2" t="n">
        <v>1</v>
      </c>
      <c r="E5" s="2" t="n">
        <v>1</v>
      </c>
      <c r="F5" s="2" t="n">
        <v>2</v>
      </c>
      <c r="G5" s="2" t="n">
        <v>1</v>
      </c>
      <c r="H5" s="2" t="n">
        <v>2</v>
      </c>
      <c r="I5" s="2" t="n">
        <v>0</v>
      </c>
      <c r="J5" s="2" t="n">
        <v>2</v>
      </c>
      <c r="K5" s="2" t="n">
        <v>0</v>
      </c>
      <c r="L5" s="2" t="n">
        <v>1</v>
      </c>
      <c r="M5" s="2" t="n">
        <v>2</v>
      </c>
      <c r="N5" s="2" t="n">
        <v>1</v>
      </c>
      <c r="O5" s="2" t="n">
        <v>1</v>
      </c>
      <c r="P5" s="2" t="n">
        <v>2</v>
      </c>
      <c r="Q5" s="2" t="n">
        <v>1</v>
      </c>
      <c r="R5" s="2" t="n">
        <v>3</v>
      </c>
      <c r="S5" s="2" t="n">
        <v>2</v>
      </c>
      <c r="T5" s="2" t="n">
        <v>0</v>
      </c>
      <c r="U5" s="2" t="n">
        <v>0</v>
      </c>
      <c r="V5" s="2" t="n">
        <v>2</v>
      </c>
      <c r="W5" s="2" t="n">
        <v>0</v>
      </c>
      <c r="X5" s="2" t="n">
        <v>1</v>
      </c>
      <c r="Y5" s="2" t="n">
        <v>1</v>
      </c>
      <c r="Z5" s="2" t="n">
        <v>2</v>
      </c>
      <c r="AA5" s="2" t="n">
        <v>1</v>
      </c>
      <c r="AB5" s="2" t="n">
        <v>1</v>
      </c>
      <c r="AC5" s="2">
        <f>AVERAGE(C5,N5,P5,R5,Z5,AA5)</f>
        <v/>
      </c>
      <c r="AD5" s="2">
        <f>AVERAGE(D5,F5,O5,W5)</f>
        <v/>
      </c>
      <c r="AE5" s="2">
        <f>AVERAGE(K5,V5,X5,Y5)</f>
        <v/>
      </c>
      <c r="AF5" s="2">
        <f>AVERAGE(J5,M5,S5,U5)</f>
        <v/>
      </c>
      <c r="AG5" s="2">
        <f>AVERAGE(G5,H5,I5,T5)</f>
        <v/>
      </c>
      <c r="AH5" s="2">
        <f>AVERAGE(E5,L5,Q5,AB5)</f>
        <v/>
      </c>
    </row>
    <row r="6">
      <c r="A6" s="2" t="n">
        <v>5</v>
      </c>
      <c r="B6" s="2" t="inlineStr">
        <is>
          <t>Carmen Lucía Yanchaliquín López</t>
        </is>
      </c>
      <c r="C6" s="2" t="n">
        <v>1</v>
      </c>
      <c r="D6" s="2" t="n">
        <v>2</v>
      </c>
      <c r="E6" s="2" t="n">
        <v>1</v>
      </c>
      <c r="F6" s="2" t="n">
        <v>2</v>
      </c>
      <c r="G6" s="2" t="n">
        <v>1</v>
      </c>
      <c r="H6" s="2" t="n">
        <v>2</v>
      </c>
      <c r="I6" s="2" t="n">
        <v>1</v>
      </c>
      <c r="J6" s="2" t="n">
        <v>1</v>
      </c>
      <c r="K6" s="2" t="n">
        <v>1</v>
      </c>
      <c r="L6" s="2" t="n">
        <v>2</v>
      </c>
      <c r="M6" s="2" t="n">
        <v>2</v>
      </c>
      <c r="N6" s="2" t="n">
        <v>2</v>
      </c>
      <c r="O6" s="2" t="n">
        <v>2</v>
      </c>
      <c r="P6" s="2" t="n">
        <v>2</v>
      </c>
      <c r="Q6" s="2" t="n">
        <v>2</v>
      </c>
      <c r="R6" s="2" t="n">
        <v>2</v>
      </c>
      <c r="S6" s="2" t="n">
        <v>1</v>
      </c>
      <c r="T6" s="2" t="n">
        <v>2</v>
      </c>
      <c r="U6" s="2" t="n">
        <v>1</v>
      </c>
      <c r="V6" s="2" t="n">
        <v>1</v>
      </c>
      <c r="W6" s="2" t="n">
        <v>2</v>
      </c>
      <c r="X6" s="2" t="n">
        <v>0</v>
      </c>
      <c r="Y6" s="2" t="n">
        <v>1</v>
      </c>
      <c r="Z6" s="2" t="n">
        <v>2</v>
      </c>
      <c r="AA6" s="2" t="n">
        <v>3</v>
      </c>
      <c r="AB6" s="2" t="n">
        <v>2</v>
      </c>
      <c r="AC6" s="2">
        <f>AVERAGE(C6,N6,P6,R6,Z6,AA6)</f>
        <v/>
      </c>
      <c r="AD6" s="2">
        <f>AVERAGE(D6,F6,O6,W6)</f>
        <v/>
      </c>
      <c r="AE6" s="2">
        <f>AVERAGE(K6,V6,X6,Y6)</f>
        <v/>
      </c>
      <c r="AF6" s="2">
        <f>AVERAGE(J6,M6,S6,U6)</f>
        <v/>
      </c>
      <c r="AG6" s="2">
        <f>AVERAGE(G6,H6,I6,T6)</f>
        <v/>
      </c>
      <c r="AH6" s="2">
        <f>AVERAGE(E6,L6,Q6,AB6)</f>
        <v/>
      </c>
    </row>
    <row r="7">
      <c r="A7" s="2" t="n">
        <v>6</v>
      </c>
      <c r="B7" s="2" t="inlineStr">
        <is>
          <t>Segundo Rafael Curichumbi Yupanqui</t>
        </is>
      </c>
      <c r="C7" s="2" t="n">
        <v>2</v>
      </c>
      <c r="D7" s="2" t="n">
        <v>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2</v>
      </c>
      <c r="J7" s="2" t="n">
        <v>1</v>
      </c>
      <c r="K7" s="2" t="n">
        <v>1</v>
      </c>
      <c r="L7" s="2" t="n">
        <v>1</v>
      </c>
      <c r="M7" s="2" t="n">
        <v>2</v>
      </c>
      <c r="N7" s="2" t="n">
        <v>2</v>
      </c>
      <c r="O7" s="2" t="n">
        <v>0</v>
      </c>
      <c r="P7" s="2" t="n">
        <v>1</v>
      </c>
      <c r="Q7" s="2" t="n">
        <v>0</v>
      </c>
      <c r="R7" s="2" t="n">
        <v>0</v>
      </c>
      <c r="S7" s="2" t="n">
        <v>1</v>
      </c>
      <c r="T7" s="2" t="n">
        <v>2</v>
      </c>
      <c r="U7" s="2" t="n">
        <v>1</v>
      </c>
      <c r="V7" s="2" t="n">
        <v>0</v>
      </c>
      <c r="W7" s="2" t="n">
        <v>2</v>
      </c>
      <c r="X7" s="2" t="n">
        <v>-1</v>
      </c>
      <c r="Y7" s="2" t="n">
        <v>1</v>
      </c>
      <c r="Z7" s="2" t="n">
        <v>1</v>
      </c>
      <c r="AA7" s="2" t="n">
        <v>1</v>
      </c>
      <c r="AB7" s="2" t="n">
        <v>2</v>
      </c>
      <c r="AC7" s="2">
        <f>AVERAGE(C7,N7,P7,R7,Z7,AA7)</f>
        <v/>
      </c>
      <c r="AD7" s="2">
        <f>AVERAGE(D7,F7,O7,W7)</f>
        <v/>
      </c>
      <c r="AE7" s="2">
        <f>AVERAGE(K7,V7,X7,Y7)</f>
        <v/>
      </c>
      <c r="AF7" s="2">
        <f>AVERAGE(J7,M7,S7,U7)</f>
        <v/>
      </c>
      <c r="AG7" s="2">
        <f>AVERAGE(G7,H7,I7,T7)</f>
        <v/>
      </c>
      <c r="AH7" s="2">
        <f>AVERAGE(E7,L7,Q7,AB7)</f>
        <v/>
      </c>
    </row>
    <row r="8">
      <c r="A8" s="2" t="n">
        <v>7</v>
      </c>
      <c r="B8" s="2" t="inlineStr">
        <is>
          <t>Verónica Alexandra Sailema Chango</t>
        </is>
      </c>
      <c r="C8" s="2" t="n">
        <v>3</v>
      </c>
      <c r="D8" s="2" t="n">
        <v>2</v>
      </c>
      <c r="E8" s="2" t="n">
        <v>2</v>
      </c>
      <c r="F8" s="2" t="n">
        <v>1</v>
      </c>
      <c r="G8" s="2" t="n">
        <v>1</v>
      </c>
      <c r="H8" s="2" t="n">
        <v>1</v>
      </c>
      <c r="I8" s="2" t="n">
        <v>3</v>
      </c>
      <c r="J8" s="2" t="n">
        <v>2</v>
      </c>
      <c r="K8" s="2" t="n">
        <v>2</v>
      </c>
      <c r="L8" s="2" t="n">
        <v>1</v>
      </c>
      <c r="M8" s="2" t="n">
        <v>3</v>
      </c>
      <c r="N8" s="2" t="n">
        <v>3</v>
      </c>
      <c r="O8" s="2" t="n">
        <v>2</v>
      </c>
      <c r="P8" s="2" t="n">
        <v>1</v>
      </c>
      <c r="Q8" s="2" t="n">
        <v>1</v>
      </c>
      <c r="R8" s="2" t="n">
        <v>2</v>
      </c>
      <c r="S8" s="2" t="n">
        <v>1</v>
      </c>
      <c r="T8" s="2" t="n">
        <v>2</v>
      </c>
      <c r="U8" s="2" t="n">
        <v>2</v>
      </c>
      <c r="V8" s="2" t="n">
        <v>0</v>
      </c>
      <c r="W8" s="2" t="n">
        <v>3</v>
      </c>
      <c r="X8" s="2" t="n">
        <v>3</v>
      </c>
      <c r="Y8" s="2" t="n">
        <v>1</v>
      </c>
      <c r="Z8" s="2" t="n">
        <v>1</v>
      </c>
      <c r="AA8" s="2" t="n">
        <v>2</v>
      </c>
      <c r="AB8" s="2" t="n">
        <v>1</v>
      </c>
      <c r="AC8" s="2">
        <f>AVERAGE(C8,N8,P8,R8,Z8,AA8)</f>
        <v/>
      </c>
      <c r="AD8" s="2">
        <f>AVERAGE(D8,F8,O8,W8)</f>
        <v/>
      </c>
      <c r="AE8" s="2">
        <f>AVERAGE(K8,V8,X8,Y8)</f>
        <v/>
      </c>
      <c r="AF8" s="2">
        <f>AVERAGE(J8,M8,S8,U8)</f>
        <v/>
      </c>
      <c r="AG8" s="2">
        <f>AVERAGE(G8,H8,I8,T8)</f>
        <v/>
      </c>
      <c r="AH8" s="2">
        <f>AVERAGE(E8,L8,Q8,AB8)</f>
        <v/>
      </c>
    </row>
    <row r="9">
      <c r="A9" s="2" t="n">
        <v>8</v>
      </c>
      <c r="B9" s="2" t="inlineStr">
        <is>
          <t>Diego Armando Punina Iza</t>
        </is>
      </c>
      <c r="C9" s="2" t="n">
        <v>2</v>
      </c>
      <c r="D9" s="2" t="n">
        <v>0</v>
      </c>
      <c r="E9" s="2" t="n">
        <v>1</v>
      </c>
      <c r="F9" s="2" t="n">
        <v>3</v>
      </c>
      <c r="G9" s="2" t="n">
        <v>1</v>
      </c>
      <c r="H9" s="2" t="n">
        <v>2</v>
      </c>
      <c r="I9" s="2" t="n">
        <v>1</v>
      </c>
      <c r="J9" s="2" t="n">
        <v>2</v>
      </c>
      <c r="K9" s="2" t="n">
        <v>1</v>
      </c>
      <c r="L9" s="2" t="n">
        <v>3</v>
      </c>
      <c r="M9" s="2" t="n">
        <v>2</v>
      </c>
      <c r="N9" s="2" t="n">
        <v>2</v>
      </c>
      <c r="O9" s="2" t="n">
        <v>2</v>
      </c>
      <c r="P9" s="2" t="n">
        <v>1</v>
      </c>
      <c r="Q9" s="2" t="n">
        <v>1</v>
      </c>
      <c r="R9" s="2" t="n">
        <v>2</v>
      </c>
      <c r="S9" s="2" t="n">
        <v>1</v>
      </c>
      <c r="T9" s="2" t="n">
        <v>2</v>
      </c>
      <c r="U9" s="2" t="n">
        <v>2</v>
      </c>
      <c r="V9" s="2" t="n">
        <v>1</v>
      </c>
      <c r="W9" s="2" t="n">
        <v>2</v>
      </c>
      <c r="X9" s="2" t="n">
        <v>3</v>
      </c>
      <c r="Y9" s="2" t="n">
        <v>1</v>
      </c>
      <c r="Z9" s="2" t="n">
        <v>3</v>
      </c>
      <c r="AA9" s="2" t="n">
        <v>2</v>
      </c>
      <c r="AB9" s="2" t="n">
        <v>1</v>
      </c>
      <c r="AC9" s="2">
        <f>AVERAGE(C9,N9,P9,R9,Z9,AA9)</f>
        <v/>
      </c>
      <c r="AD9" s="2">
        <f>AVERAGE(D9,F9,O9,W9)</f>
        <v/>
      </c>
      <c r="AE9" s="2">
        <f>AVERAGE(K9,V9,X9,Y9)</f>
        <v/>
      </c>
      <c r="AF9" s="2">
        <f>AVERAGE(J9,M9,S9,U9)</f>
        <v/>
      </c>
      <c r="AG9" s="2">
        <f>AVERAGE(G9,H9,I9,T9)</f>
        <v/>
      </c>
      <c r="AH9" s="2">
        <f>AVERAGE(E9,L9,Q9,AB9)</f>
        <v/>
      </c>
    </row>
    <row r="10">
      <c r="A10" s="2" t="n">
        <v>9</v>
      </c>
      <c r="B10" s="2" t="inlineStr">
        <is>
          <t>Blanca Cecilia Mullo Chicaiza</t>
        </is>
      </c>
      <c r="C10" s="2" t="n">
        <v>3</v>
      </c>
      <c r="D10" s="2" t="n">
        <v>2</v>
      </c>
      <c r="E10" s="2" t="n">
        <v>2</v>
      </c>
      <c r="F10" s="2" t="n">
        <v>2</v>
      </c>
      <c r="G10" s="2" t="n">
        <v>0</v>
      </c>
      <c r="H10" s="2" t="n">
        <v>2</v>
      </c>
      <c r="I10" s="2" t="n">
        <v>1</v>
      </c>
      <c r="J10" s="2" t="n">
        <v>0</v>
      </c>
      <c r="K10" s="2" t="n">
        <v>0</v>
      </c>
      <c r="L10" s="2" t="n">
        <v>1</v>
      </c>
      <c r="M10" s="2" t="n">
        <v>2</v>
      </c>
      <c r="N10" s="2" t="n">
        <v>2</v>
      </c>
      <c r="O10" s="2" t="n">
        <v>1</v>
      </c>
      <c r="P10" s="2" t="n">
        <v>1</v>
      </c>
      <c r="Q10" s="2" t="n">
        <v>1</v>
      </c>
      <c r="R10" s="2" t="n">
        <v>1</v>
      </c>
      <c r="S10" s="2" t="n">
        <v>0</v>
      </c>
      <c r="T10" s="2" t="n">
        <v>1</v>
      </c>
      <c r="U10" s="2" t="n">
        <v>1</v>
      </c>
      <c r="V10" s="2" t="n">
        <v>1</v>
      </c>
      <c r="W10" s="2" t="n">
        <v>1</v>
      </c>
      <c r="X10" s="2" t="n">
        <v>1</v>
      </c>
      <c r="Y10" s="2" t="n">
        <v>1</v>
      </c>
      <c r="Z10" s="2" t="n">
        <v>2</v>
      </c>
      <c r="AA10" s="2" t="n">
        <v>2</v>
      </c>
      <c r="AB10" s="2" t="n">
        <v>2</v>
      </c>
      <c r="AC10" s="2">
        <f>AVERAGE(C10,N10,P10,R10,Z10,AA10)</f>
        <v/>
      </c>
      <c r="AD10" s="2">
        <f>AVERAGE(D10,F10,O10,W10)</f>
        <v/>
      </c>
      <c r="AE10" s="2">
        <f>AVERAGE(K10,V10,X10,Y10)</f>
        <v/>
      </c>
      <c r="AF10" s="2">
        <f>AVERAGE(J10,M10,S10,U10)</f>
        <v/>
      </c>
      <c r="AG10" s="2">
        <f>AVERAGE(G10,H10,I10,T10)</f>
        <v/>
      </c>
      <c r="AH10" s="2">
        <f>AVERAGE(E10,L10,Q10,AB10)</f>
        <v/>
      </c>
    </row>
    <row r="11">
      <c r="A11" s="2" t="n">
        <v>10</v>
      </c>
      <c r="B11" s="2" t="inlineStr">
        <is>
          <t>Kevin Andrés Morales Villacís</t>
        </is>
      </c>
      <c r="C11" s="2" t="n">
        <v>1</v>
      </c>
      <c r="D11" s="2" t="n">
        <v>1</v>
      </c>
      <c r="E11" s="2" t="n">
        <v>2</v>
      </c>
      <c r="F11" s="2" t="n">
        <v>2</v>
      </c>
      <c r="G11" s="2" t="n">
        <v>1</v>
      </c>
      <c r="H11" s="2" t="n">
        <v>2</v>
      </c>
      <c r="I11" s="2" t="n">
        <v>3</v>
      </c>
      <c r="J11" s="2" t="n">
        <v>1</v>
      </c>
      <c r="K11" s="2" t="n">
        <v>2</v>
      </c>
      <c r="L11" s="2" t="n">
        <v>2</v>
      </c>
      <c r="M11" s="2" t="n">
        <v>2</v>
      </c>
      <c r="N11" s="2" t="n">
        <v>2</v>
      </c>
      <c r="O11" s="2" t="n">
        <v>2</v>
      </c>
      <c r="P11" s="2" t="n">
        <v>2</v>
      </c>
      <c r="Q11" s="2" t="n">
        <v>1</v>
      </c>
      <c r="R11" s="2" t="n">
        <v>2</v>
      </c>
      <c r="S11" s="2" t="n">
        <v>2</v>
      </c>
      <c r="T11" s="2" t="n">
        <v>2</v>
      </c>
      <c r="U11" s="2" t="n">
        <v>1</v>
      </c>
      <c r="V11" s="2" t="n">
        <v>1</v>
      </c>
      <c r="W11" s="2" t="n">
        <v>2</v>
      </c>
      <c r="X11" s="2" t="n">
        <v>1</v>
      </c>
      <c r="Y11" s="2" t="n">
        <v>2</v>
      </c>
      <c r="Z11" s="2" t="n">
        <v>1</v>
      </c>
      <c r="AA11" s="2" t="n">
        <v>1</v>
      </c>
      <c r="AB11" s="2" t="n">
        <v>2</v>
      </c>
      <c r="AC11" s="2">
        <f>AVERAGE(C11,N11,P11,R11,Z11,AA11)</f>
        <v/>
      </c>
      <c r="AD11" s="2">
        <f>AVERAGE(D11,F11,O11,W11)</f>
        <v/>
      </c>
      <c r="AE11" s="2">
        <f>AVERAGE(K11,V11,X11,Y11)</f>
        <v/>
      </c>
      <c r="AF11" s="2">
        <f>AVERAGE(J11,M11,S11,U11)</f>
        <v/>
      </c>
      <c r="AG11" s="2">
        <f>AVERAGE(G11,H11,I11,T11)</f>
        <v/>
      </c>
      <c r="AH11" s="2">
        <f>AVERAGE(E11,L11,Q11,AB11)</f>
        <v/>
      </c>
    </row>
    <row r="12">
      <c r="A12" s="2" t="n">
        <v>11</v>
      </c>
      <c r="B12" s="2" t="inlineStr">
        <is>
          <t>Nelly Patricia Caizabanda Jerez</t>
        </is>
      </c>
      <c r="C12" s="2" t="n">
        <v>2</v>
      </c>
      <c r="D12" s="2" t="n">
        <v>2</v>
      </c>
      <c r="E12" s="2" t="n">
        <v>2</v>
      </c>
      <c r="F12" s="2" t="n">
        <v>1</v>
      </c>
      <c r="G12" s="2" t="n">
        <v>2</v>
      </c>
      <c r="H12" s="2" t="n">
        <v>1</v>
      </c>
      <c r="I12" s="2" t="n">
        <v>3</v>
      </c>
      <c r="J12" s="2" t="n">
        <v>2</v>
      </c>
      <c r="K12" s="2" t="n">
        <v>2</v>
      </c>
      <c r="L12" s="2" t="n">
        <v>2</v>
      </c>
      <c r="M12" s="2" t="n">
        <v>1</v>
      </c>
      <c r="N12" s="2" t="n">
        <v>1</v>
      </c>
      <c r="O12" s="2" t="n">
        <v>2</v>
      </c>
      <c r="P12" s="2" t="n">
        <v>2</v>
      </c>
      <c r="Q12" s="2" t="n">
        <v>1</v>
      </c>
      <c r="R12" s="2" t="n">
        <v>1</v>
      </c>
      <c r="S12" s="2" t="n">
        <v>1</v>
      </c>
      <c r="T12" s="2" t="n">
        <v>1</v>
      </c>
      <c r="U12" s="2" t="n">
        <v>0</v>
      </c>
      <c r="V12" s="2" t="n">
        <v>1</v>
      </c>
      <c r="W12" s="2" t="n">
        <v>0</v>
      </c>
      <c r="X12" s="2" t="n">
        <v>2</v>
      </c>
      <c r="Y12" s="2" t="n">
        <v>2</v>
      </c>
      <c r="Z12" s="2" t="n">
        <v>2</v>
      </c>
      <c r="AA12" s="2" t="n">
        <v>1</v>
      </c>
      <c r="AB12" s="2" t="n">
        <v>1</v>
      </c>
      <c r="AC12" s="2">
        <f>AVERAGE(C12,N12,P12,R12,Z12,AA12)</f>
        <v/>
      </c>
      <c r="AD12" s="2">
        <f>AVERAGE(D12,F12,O12,W12)</f>
        <v/>
      </c>
      <c r="AE12" s="2">
        <f>AVERAGE(K12,V12,X12,Y12)</f>
        <v/>
      </c>
      <c r="AF12" s="2">
        <f>AVERAGE(J12,M12,S12,U12)</f>
        <v/>
      </c>
      <c r="AG12" s="2">
        <f>AVERAGE(G12,H12,I12,T12)</f>
        <v/>
      </c>
      <c r="AH12" s="2">
        <f>AVERAGE(E12,L12,Q12,AB12)</f>
        <v/>
      </c>
    </row>
    <row r="13">
      <c r="A13" s="2" t="n">
        <v>12</v>
      </c>
      <c r="B13" s="2" t="inlineStr">
        <is>
          <t>Ángel Gustavo Llambo Toalombo</t>
        </is>
      </c>
      <c r="C13" s="2" t="n">
        <v>1</v>
      </c>
      <c r="D13" s="2" t="n">
        <v>0</v>
      </c>
      <c r="E13" s="2" t="n">
        <v>1</v>
      </c>
      <c r="F13" s="2" t="n">
        <v>2</v>
      </c>
      <c r="G13" s="2" t="n">
        <v>1</v>
      </c>
      <c r="H13" s="2" t="n">
        <v>1</v>
      </c>
      <c r="I13" s="2" t="n">
        <v>2</v>
      </c>
      <c r="J13" s="2" t="n">
        <v>1</v>
      </c>
      <c r="K13" s="2" t="n">
        <v>2</v>
      </c>
      <c r="L13" s="2" t="n">
        <v>1</v>
      </c>
      <c r="M13" s="2" t="n">
        <v>1</v>
      </c>
      <c r="N13" s="2" t="n">
        <v>1</v>
      </c>
      <c r="O13" s="2" t="n">
        <v>2</v>
      </c>
      <c r="P13" s="2" t="n">
        <v>3</v>
      </c>
      <c r="Q13" s="2" t="n">
        <v>1</v>
      </c>
      <c r="R13" s="2" t="n">
        <v>1</v>
      </c>
      <c r="S13" s="2" t="n">
        <v>1</v>
      </c>
      <c r="T13" s="2" t="n">
        <v>0</v>
      </c>
      <c r="U13" s="2" t="n">
        <v>1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2</v>
      </c>
      <c r="AA13" s="2" t="n">
        <v>1</v>
      </c>
      <c r="AB13" s="2" t="n">
        <v>0</v>
      </c>
      <c r="AC13" s="2">
        <f>AVERAGE(C13,N13,P13,R13,Z13,AA13)</f>
        <v/>
      </c>
      <c r="AD13" s="2">
        <f>AVERAGE(D13,F13,O13,W13)</f>
        <v/>
      </c>
      <c r="AE13" s="2">
        <f>AVERAGE(K13,V13,X13,Y13)</f>
        <v/>
      </c>
      <c r="AF13" s="2">
        <f>AVERAGE(J13,M13,S13,U13)</f>
        <v/>
      </c>
      <c r="AG13" s="2">
        <f>AVERAGE(G13,H13,I13,T13)</f>
        <v/>
      </c>
      <c r="AH13" s="2">
        <f>AVERAGE(E13,L13,Q13,AB13)</f>
        <v/>
      </c>
    </row>
    <row r="14">
      <c r="A14" s="2" t="n">
        <v>13</v>
      </c>
      <c r="B14" s="2" t="inlineStr">
        <is>
          <t>Evelyn Dayana Toalombo Sisa</t>
        </is>
      </c>
      <c r="C14" s="2" t="n">
        <v>2</v>
      </c>
      <c r="D14" s="2" t="n">
        <v>1</v>
      </c>
      <c r="E14" s="2" t="n">
        <v>2</v>
      </c>
      <c r="F14" s="2" t="n">
        <v>2</v>
      </c>
      <c r="G14" s="2" t="n">
        <v>2</v>
      </c>
      <c r="H14" s="2" t="n">
        <v>1</v>
      </c>
      <c r="I14" s="2" t="n">
        <v>2</v>
      </c>
      <c r="J14" s="2" t="n">
        <v>2</v>
      </c>
      <c r="K14" s="2" t="n">
        <v>1</v>
      </c>
      <c r="L14" s="2" t="n">
        <v>0</v>
      </c>
      <c r="M14" s="2" t="n">
        <v>2</v>
      </c>
      <c r="N14" s="2" t="n">
        <v>2</v>
      </c>
      <c r="O14" s="2" t="n">
        <v>1</v>
      </c>
      <c r="P14" s="2" t="n">
        <v>2</v>
      </c>
      <c r="Q14" s="2" t="n">
        <v>2</v>
      </c>
      <c r="R14" s="2" t="n">
        <v>2</v>
      </c>
      <c r="S14" s="2" t="n">
        <v>1</v>
      </c>
      <c r="T14" s="2" t="n">
        <v>2</v>
      </c>
      <c r="U14" s="2" t="n">
        <v>3</v>
      </c>
      <c r="V14" s="2" t="n">
        <v>3</v>
      </c>
      <c r="W14" s="2" t="n">
        <v>2</v>
      </c>
      <c r="X14" s="2" t="n">
        <v>1</v>
      </c>
      <c r="Y14" s="2" t="n">
        <v>3</v>
      </c>
      <c r="Z14" s="2" t="n">
        <v>1</v>
      </c>
      <c r="AA14" s="2" t="n">
        <v>2</v>
      </c>
      <c r="AB14" s="2" t="n">
        <v>1</v>
      </c>
      <c r="AC14" s="2">
        <f>AVERAGE(C14,N14,P14,R14,Z14,AA14)</f>
        <v/>
      </c>
      <c r="AD14" s="2">
        <f>AVERAGE(D14,F14,O14,W14)</f>
        <v/>
      </c>
      <c r="AE14" s="2">
        <f>AVERAGE(K14,V14,X14,Y14)</f>
        <v/>
      </c>
      <c r="AF14" s="2">
        <f>AVERAGE(J14,M14,S14,U14)</f>
        <v/>
      </c>
      <c r="AG14" s="2">
        <f>AVERAGE(G14,H14,I14,T14)</f>
        <v/>
      </c>
      <c r="AH14" s="2">
        <f>AVERAGE(E14,L14,Q14,AB14)</f>
        <v/>
      </c>
    </row>
    <row r="15">
      <c r="A15" s="2" t="n">
        <v>14</v>
      </c>
      <c r="B15" s="2" t="inlineStr">
        <is>
          <t>Marco Vinicio Chicaiza Núñez</t>
        </is>
      </c>
      <c r="C15" s="2" t="n">
        <v>3</v>
      </c>
      <c r="D15" s="2" t="n">
        <v>2</v>
      </c>
      <c r="E15" s="2" t="n">
        <v>0</v>
      </c>
      <c r="F15" s="2" t="n">
        <v>2</v>
      </c>
      <c r="G15" s="2" t="n">
        <v>2</v>
      </c>
      <c r="H15" s="2" t="n">
        <v>1</v>
      </c>
      <c r="I15" s="2" t="n">
        <v>1</v>
      </c>
      <c r="J15" s="2" t="n">
        <v>1</v>
      </c>
      <c r="K15" s="2" t="n">
        <v>1</v>
      </c>
      <c r="L15" s="2" t="n">
        <v>1</v>
      </c>
      <c r="M15" s="2" t="n">
        <v>1</v>
      </c>
      <c r="N15" s="2" t="n">
        <v>2</v>
      </c>
      <c r="O15" s="2" t="n">
        <v>1</v>
      </c>
      <c r="P15" s="2" t="n">
        <v>0</v>
      </c>
      <c r="Q15" s="2" t="n">
        <v>1</v>
      </c>
      <c r="R15" s="2" t="n">
        <v>3</v>
      </c>
      <c r="S15" s="2" t="n">
        <v>1</v>
      </c>
      <c r="T15" s="2" t="n">
        <v>3</v>
      </c>
      <c r="U15" s="2" t="n">
        <v>2</v>
      </c>
      <c r="V15" s="2" t="n">
        <v>0</v>
      </c>
      <c r="W15" s="2" t="n">
        <v>1</v>
      </c>
      <c r="X15" s="2" t="n">
        <v>1</v>
      </c>
      <c r="Y15" s="2" t="n">
        <v>0</v>
      </c>
      <c r="Z15" s="2" t="n">
        <v>3</v>
      </c>
      <c r="AA15" s="2" t="n">
        <v>1</v>
      </c>
      <c r="AB15" s="2" t="n">
        <v>2</v>
      </c>
      <c r="AC15" s="2">
        <f>AVERAGE(C15,N15,P15,R15,Z15,AA15)</f>
        <v/>
      </c>
      <c r="AD15" s="2">
        <f>AVERAGE(D15,F15,O15,W15)</f>
        <v/>
      </c>
      <c r="AE15" s="2">
        <f>AVERAGE(K15,V15,X15,Y15)</f>
        <v/>
      </c>
      <c r="AF15" s="2">
        <f>AVERAGE(J15,M15,S15,U15)</f>
        <v/>
      </c>
      <c r="AG15" s="2">
        <f>AVERAGE(G15,H15,I15,T15)</f>
        <v/>
      </c>
      <c r="AH15" s="2">
        <f>AVERAGE(E15,L15,Q15,AB15)</f>
        <v/>
      </c>
    </row>
    <row r="16">
      <c r="A16" s="2" t="n">
        <v>15</v>
      </c>
      <c r="B16" s="2" t="inlineStr">
        <is>
          <t>Inés Margarita Pandi Lligalo</t>
        </is>
      </c>
      <c r="C16" s="2" t="n">
        <v>2</v>
      </c>
      <c r="D16" s="2" t="n">
        <v>1</v>
      </c>
      <c r="E16" s="2" t="n">
        <v>0</v>
      </c>
      <c r="F16" s="2" t="n">
        <v>1</v>
      </c>
      <c r="G16" s="2" t="n">
        <v>2</v>
      </c>
      <c r="H16" s="2" t="n">
        <v>2</v>
      </c>
      <c r="I16" s="2" t="n">
        <v>1</v>
      </c>
      <c r="J16" s="2" t="n">
        <v>0</v>
      </c>
      <c r="K16" s="2" t="n">
        <v>1</v>
      </c>
      <c r="L16" s="2" t="n">
        <v>1</v>
      </c>
      <c r="M16" s="2" t="n">
        <v>-1</v>
      </c>
      <c r="N16" s="2" t="n">
        <v>1</v>
      </c>
      <c r="O16" s="2" t="n">
        <v>0</v>
      </c>
      <c r="P16" s="2" t="n">
        <v>2</v>
      </c>
      <c r="Q16" s="2" t="n">
        <v>3</v>
      </c>
      <c r="R16" s="2" t="n">
        <v>3</v>
      </c>
      <c r="S16" s="2" t="n">
        <v>1</v>
      </c>
      <c r="T16" s="2" t="n">
        <v>1</v>
      </c>
      <c r="U16" s="2" t="n">
        <v>1</v>
      </c>
      <c r="V16" s="2" t="n">
        <v>2</v>
      </c>
      <c r="W16" s="2" t="n">
        <v>1</v>
      </c>
      <c r="X16" s="2" t="n">
        <v>1</v>
      </c>
      <c r="Y16" s="2" t="n">
        <v>3</v>
      </c>
      <c r="Z16" s="2" t="n">
        <v>1</v>
      </c>
      <c r="AA16" s="2" t="n">
        <v>1</v>
      </c>
      <c r="AB16" s="2" t="n">
        <v>1</v>
      </c>
      <c r="AC16" s="2">
        <f>AVERAGE(C16,N16,P16,R16,Z16,AA16)</f>
        <v/>
      </c>
      <c r="AD16" s="2">
        <f>AVERAGE(D16,F16,O16,W16)</f>
        <v/>
      </c>
      <c r="AE16" s="2">
        <f>AVERAGE(K16,V16,X16,Y16)</f>
        <v/>
      </c>
      <c r="AF16" s="2">
        <f>AVERAGE(J16,M16,S16,U16)</f>
        <v/>
      </c>
      <c r="AG16" s="2">
        <f>AVERAGE(G16,H16,I16,T16)</f>
        <v/>
      </c>
      <c r="AH16" s="2">
        <f>AVERAGE(E16,L16,Q16,AB16)</f>
        <v/>
      </c>
    </row>
    <row r="17">
      <c r="A17" s="3" t="inlineStr"/>
      <c r="B17" s="3" t="inlineStr">
        <is>
          <t>MEDIA</t>
        </is>
      </c>
      <c r="C17" s="3">
        <f>AVERAGE(C2:C16)</f>
        <v/>
      </c>
      <c r="D17" s="3">
        <f>AVERAGE(D2:D16)</f>
        <v/>
      </c>
      <c r="E17" s="3">
        <f>AVERAGE(E2:E16)</f>
        <v/>
      </c>
      <c r="F17" s="3">
        <f>AVERAGE(F2:F16)</f>
        <v/>
      </c>
      <c r="G17" s="3">
        <f>AVERAGE(G2:G16)</f>
        <v/>
      </c>
      <c r="H17" s="3">
        <f>AVERAGE(H2:H16)</f>
        <v/>
      </c>
      <c r="I17" s="3">
        <f>AVERAGE(I2:I16)</f>
        <v/>
      </c>
      <c r="J17" s="3">
        <f>AVERAGE(J2:J16)</f>
        <v/>
      </c>
      <c r="K17" s="3">
        <f>AVERAGE(K2:K16)</f>
        <v/>
      </c>
      <c r="L17" s="3">
        <f>AVERAGE(L2:L16)</f>
        <v/>
      </c>
      <c r="M17" s="3">
        <f>AVERAGE(M2:M16)</f>
        <v/>
      </c>
      <c r="N17" s="3">
        <f>AVERAGE(N2:N16)</f>
        <v/>
      </c>
      <c r="O17" s="3">
        <f>AVERAGE(O2:O16)</f>
        <v/>
      </c>
      <c r="P17" s="3">
        <f>AVERAGE(P2:P16)</f>
        <v/>
      </c>
      <c r="Q17" s="3">
        <f>AVERAGE(Q2:Q16)</f>
        <v/>
      </c>
      <c r="R17" s="3">
        <f>AVERAGE(R2:R16)</f>
        <v/>
      </c>
      <c r="S17" s="3">
        <f>AVERAGE(S2:S16)</f>
        <v/>
      </c>
      <c r="T17" s="3">
        <f>AVERAGE(T2:T16)</f>
        <v/>
      </c>
      <c r="U17" s="3">
        <f>AVERAGE(U2:U16)</f>
        <v/>
      </c>
      <c r="V17" s="3">
        <f>AVERAGE(V2:V16)</f>
        <v/>
      </c>
      <c r="W17" s="3">
        <f>AVERAGE(W2:W16)</f>
        <v/>
      </c>
      <c r="X17" s="3">
        <f>AVERAGE(X2:X16)</f>
        <v/>
      </c>
      <c r="Y17" s="3">
        <f>AVERAGE(Y2:Y16)</f>
        <v/>
      </c>
      <c r="Z17" s="3">
        <f>AVERAGE(Z2:Z16)</f>
        <v/>
      </c>
      <c r="AA17" s="3">
        <f>AVERAGE(AA2:AA16)</f>
        <v/>
      </c>
      <c r="AB17" s="3">
        <f>AVERAGE(AB2:AB16)</f>
        <v/>
      </c>
      <c r="AC17" s="3">
        <f>AVERAGE(AC2:AC16)</f>
        <v/>
      </c>
      <c r="AD17" s="3">
        <f>AVERAGE(AD2:AD16)</f>
        <v/>
      </c>
      <c r="AE17" s="3">
        <f>AVERAGE(AE2:AE16)</f>
        <v/>
      </c>
      <c r="AF17" s="3">
        <f>AVERAGE(AF2:AF16)</f>
        <v/>
      </c>
      <c r="AG17" s="3">
        <f>AVERAGE(AG2:AG16)</f>
        <v/>
      </c>
      <c r="AH17" s="3">
        <f>AVERAGE(AH2:AH16)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6" customWidth="1" min="4" max="4"/>
  </cols>
  <sheetData>
    <row r="1">
      <c r="A1" s="1" t="inlineStr">
        <is>
          <t>Ítem</t>
        </is>
      </c>
      <c r="B1" s="1" t="inlineStr">
        <is>
          <t>Polo negativo (−3)</t>
        </is>
      </c>
      <c r="C1" s="1" t="inlineStr">
        <is>
          <t>Polo positivo (+3)</t>
        </is>
      </c>
      <c r="D1" s="1" t="inlineStr">
        <is>
          <t>Escala</t>
        </is>
      </c>
    </row>
    <row r="2">
      <c r="A2" s="2" t="n">
        <v>1</v>
      </c>
      <c r="B2" s="2" t="inlineStr">
        <is>
          <t>desagradable</t>
        </is>
      </c>
      <c r="C2" s="2" t="inlineStr">
        <is>
          <t>agradable</t>
        </is>
      </c>
      <c r="D2" s="2" t="inlineStr">
        <is>
          <t>Atractivo</t>
        </is>
      </c>
    </row>
    <row r="3">
      <c r="A3" s="2" t="n">
        <v>2</v>
      </c>
      <c r="B3" s="2" t="inlineStr">
        <is>
          <t>no entendible</t>
        </is>
      </c>
      <c r="C3" s="2" t="inlineStr">
        <is>
          <t>entendible</t>
        </is>
      </c>
      <c r="D3" s="2" t="inlineStr">
        <is>
          <t>Transparencia</t>
        </is>
      </c>
    </row>
    <row r="4">
      <c r="A4" s="2" t="n">
        <v>3</v>
      </c>
      <c r="B4" s="2" t="inlineStr">
        <is>
          <t>sin imaginación</t>
        </is>
      </c>
      <c r="C4" s="2" t="inlineStr">
        <is>
          <t>creativo</t>
        </is>
      </c>
      <c r="D4" s="2" t="inlineStr">
        <is>
          <t>Novedad</t>
        </is>
      </c>
    </row>
    <row r="5">
      <c r="A5" s="2" t="n">
        <v>4</v>
      </c>
      <c r="B5" s="2" t="inlineStr">
        <is>
          <t>difícil de aprender</t>
        </is>
      </c>
      <c r="C5" s="2" t="inlineStr">
        <is>
          <t>fácil de aprender</t>
        </is>
      </c>
      <c r="D5" s="2" t="inlineStr">
        <is>
          <t>Transparencia</t>
        </is>
      </c>
    </row>
    <row r="6">
      <c r="A6" s="2" t="n">
        <v>5</v>
      </c>
      <c r="B6" s="2" t="inlineStr">
        <is>
          <t>de poco valor</t>
        </is>
      </c>
      <c r="C6" s="2" t="inlineStr">
        <is>
          <t>valioso</t>
        </is>
      </c>
      <c r="D6" s="2" t="inlineStr">
        <is>
          <t>Estimulación</t>
        </is>
      </c>
    </row>
    <row r="7">
      <c r="A7" s="2" t="n">
        <v>6</v>
      </c>
      <c r="B7" s="2" t="inlineStr">
        <is>
          <t>aburrido</t>
        </is>
      </c>
      <c r="C7" s="2" t="inlineStr">
        <is>
          <t>emocionante</t>
        </is>
      </c>
      <c r="D7" s="2" t="inlineStr">
        <is>
          <t>Estimulación</t>
        </is>
      </c>
    </row>
    <row r="8">
      <c r="A8" s="2" t="n">
        <v>7</v>
      </c>
      <c r="B8" s="2" t="inlineStr">
        <is>
          <t>no interesante</t>
        </is>
      </c>
      <c r="C8" s="2" t="inlineStr">
        <is>
          <t>interesante</t>
        </is>
      </c>
      <c r="D8" s="2" t="inlineStr">
        <is>
          <t>Estimulación</t>
        </is>
      </c>
    </row>
    <row r="9">
      <c r="A9" s="2" t="n">
        <v>8</v>
      </c>
      <c r="B9" s="2" t="inlineStr">
        <is>
          <t>impredecible</t>
        </is>
      </c>
      <c r="C9" s="2" t="inlineStr">
        <is>
          <t>predecible</t>
        </is>
      </c>
      <c r="D9" s="2" t="inlineStr">
        <is>
          <t>Fiabilidad</t>
        </is>
      </c>
    </row>
    <row r="10">
      <c r="A10" s="2" t="n">
        <v>9</v>
      </c>
      <c r="B10" s="2" t="inlineStr">
        <is>
          <t>lento</t>
        </is>
      </c>
      <c r="C10" s="2" t="inlineStr">
        <is>
          <t>rápido</t>
        </is>
      </c>
      <c r="D10" s="2" t="inlineStr">
        <is>
          <t>Eficiencia</t>
        </is>
      </c>
    </row>
    <row r="11">
      <c r="A11" s="2" t="n">
        <v>10</v>
      </c>
      <c r="B11" s="2" t="inlineStr">
        <is>
          <t>convencional</t>
        </is>
      </c>
      <c r="C11" s="2" t="inlineStr">
        <is>
          <t>original</t>
        </is>
      </c>
      <c r="D11" s="2" t="inlineStr">
        <is>
          <t>Novedad</t>
        </is>
      </c>
    </row>
    <row r="12">
      <c r="A12" s="2" t="n">
        <v>11</v>
      </c>
      <c r="B12" s="2" t="inlineStr">
        <is>
          <t>obstructivo</t>
        </is>
      </c>
      <c r="C12" s="2" t="inlineStr">
        <is>
          <t>impulsor de apoyo</t>
        </is>
      </c>
      <c r="D12" s="2" t="inlineStr">
        <is>
          <t>Fiabilidad</t>
        </is>
      </c>
    </row>
    <row r="13">
      <c r="A13" s="2" t="n">
        <v>12</v>
      </c>
      <c r="B13" s="2" t="inlineStr">
        <is>
          <t>malo</t>
        </is>
      </c>
      <c r="C13" s="2" t="inlineStr">
        <is>
          <t>bueno</t>
        </is>
      </c>
      <c r="D13" s="2" t="inlineStr">
        <is>
          <t>Atractivo</t>
        </is>
      </c>
    </row>
    <row r="14">
      <c r="A14" s="2" t="n">
        <v>13</v>
      </c>
      <c r="B14" s="2" t="inlineStr">
        <is>
          <t>complicado</t>
        </is>
      </c>
      <c r="C14" s="2" t="inlineStr">
        <is>
          <t>fácil</t>
        </is>
      </c>
      <c r="D14" s="2" t="inlineStr">
        <is>
          <t>Transparencia</t>
        </is>
      </c>
    </row>
    <row r="15">
      <c r="A15" s="2" t="n">
        <v>14</v>
      </c>
      <c r="B15" s="2" t="inlineStr">
        <is>
          <t>repele</t>
        </is>
      </c>
      <c r="C15" s="2" t="inlineStr">
        <is>
          <t>atrae</t>
        </is>
      </c>
      <c r="D15" s="2" t="inlineStr">
        <is>
          <t>Atractivo</t>
        </is>
      </c>
    </row>
    <row r="16">
      <c r="A16" s="2" t="n">
        <v>15</v>
      </c>
      <c r="B16" s="2" t="inlineStr">
        <is>
          <t>convencional</t>
        </is>
      </c>
      <c r="C16" s="2" t="inlineStr">
        <is>
          <t>novedoso</t>
        </is>
      </c>
      <c r="D16" s="2" t="inlineStr">
        <is>
          <t>Novedad</t>
        </is>
      </c>
    </row>
    <row r="17">
      <c r="A17" s="2" t="n">
        <v>16</v>
      </c>
      <c r="B17" s="2" t="inlineStr">
        <is>
          <t>incómodo</t>
        </is>
      </c>
      <c r="C17" s="2" t="inlineStr">
        <is>
          <t>cómodo</t>
        </is>
      </c>
      <c r="D17" s="2" t="inlineStr">
        <is>
          <t>Atractivo</t>
        </is>
      </c>
    </row>
    <row r="18">
      <c r="A18" s="2" t="n">
        <v>17</v>
      </c>
      <c r="B18" s="2" t="inlineStr">
        <is>
          <t>inseguro</t>
        </is>
      </c>
      <c r="C18" s="2" t="inlineStr">
        <is>
          <t>seguro</t>
        </is>
      </c>
      <c r="D18" s="2" t="inlineStr">
        <is>
          <t>Fiabilidad</t>
        </is>
      </c>
    </row>
    <row r="19">
      <c r="A19" s="2" t="n">
        <v>18</v>
      </c>
      <c r="B19" s="2" t="inlineStr">
        <is>
          <t>desmotivante</t>
        </is>
      </c>
      <c r="C19" s="2" t="inlineStr">
        <is>
          <t>motivante</t>
        </is>
      </c>
      <c r="D19" s="2" t="inlineStr">
        <is>
          <t>Estimulación</t>
        </is>
      </c>
    </row>
    <row r="20">
      <c r="A20" s="2" t="n">
        <v>19</v>
      </c>
      <c r="B20" s="2" t="inlineStr">
        <is>
          <t>no cumple expectativas</t>
        </is>
      </c>
      <c r="C20" s="2" t="inlineStr">
        <is>
          <t>cumple expectativas</t>
        </is>
      </c>
      <c r="D20" s="2" t="inlineStr">
        <is>
          <t>Fiabilidad</t>
        </is>
      </c>
    </row>
    <row r="21">
      <c r="A21" s="2" t="n">
        <v>20</v>
      </c>
      <c r="B21" s="2" t="inlineStr">
        <is>
          <t>ineficiente</t>
        </is>
      </c>
      <c r="C21" s="2" t="inlineStr">
        <is>
          <t>eficiente</t>
        </is>
      </c>
      <c r="D21" s="2" t="inlineStr">
        <is>
          <t>Eficiencia</t>
        </is>
      </c>
    </row>
    <row r="22">
      <c r="A22" s="2" t="n">
        <v>21</v>
      </c>
      <c r="B22" s="2" t="inlineStr">
        <is>
          <t>confuso</t>
        </is>
      </c>
      <c r="C22" s="2" t="inlineStr">
        <is>
          <t>claro</t>
        </is>
      </c>
      <c r="D22" s="2" t="inlineStr">
        <is>
          <t>Transparencia</t>
        </is>
      </c>
    </row>
    <row r="23">
      <c r="A23" s="2" t="n">
        <v>22</v>
      </c>
      <c r="B23" s="2" t="inlineStr">
        <is>
          <t>no pragmático</t>
        </is>
      </c>
      <c r="C23" s="2" t="inlineStr">
        <is>
          <t>pragmático</t>
        </is>
      </c>
      <c r="D23" s="2" t="inlineStr">
        <is>
          <t>Eficiencia</t>
        </is>
      </c>
    </row>
    <row r="24">
      <c r="A24" s="2" t="n">
        <v>23</v>
      </c>
      <c r="B24" s="2" t="inlineStr">
        <is>
          <t>desordenado</t>
        </is>
      </c>
      <c r="C24" s="2" t="inlineStr">
        <is>
          <t>ordenado</t>
        </is>
      </c>
      <c r="D24" s="2" t="inlineStr">
        <is>
          <t>Eficiencia</t>
        </is>
      </c>
    </row>
    <row r="25">
      <c r="A25" s="2" t="n">
        <v>24</v>
      </c>
      <c r="B25" s="2" t="inlineStr">
        <is>
          <t>feo</t>
        </is>
      </c>
      <c r="C25" s="2" t="inlineStr">
        <is>
          <t>atractivo</t>
        </is>
      </c>
      <c r="D25" s="2" t="inlineStr">
        <is>
          <t>Atractivo</t>
        </is>
      </c>
    </row>
    <row r="26">
      <c r="A26" s="2" t="n">
        <v>25</v>
      </c>
      <c r="B26" s="2" t="inlineStr">
        <is>
          <t>antipático</t>
        </is>
      </c>
      <c r="C26" s="2" t="inlineStr">
        <is>
          <t>simpático</t>
        </is>
      </c>
      <c r="D26" s="2" t="inlineStr">
        <is>
          <t>Atractivo</t>
        </is>
      </c>
    </row>
    <row r="27">
      <c r="A27" s="2" t="n">
        <v>26</v>
      </c>
      <c r="B27" s="2" t="inlineStr">
        <is>
          <t>conservador</t>
        </is>
      </c>
      <c r="C27" s="2" t="inlineStr">
        <is>
          <t>innovador</t>
        </is>
      </c>
      <c r="D27" s="2" t="inlineStr">
        <is>
          <t>Novedad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2" customWidth="1" min="2" max="2"/>
    <col width="62" customWidth="1" min="3" max="3"/>
    <col width="1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Heurística</t>
        </is>
      </c>
      <c r="C1" s="1" t="inlineStr">
        <is>
          <t>Problema detectado (evidencia real de la inspección)</t>
        </is>
      </c>
      <c r="D1" s="1" t="inlineStr">
        <is>
          <t>Plataforma</t>
        </is>
      </c>
      <c r="E1" s="1" t="inlineStr">
        <is>
          <t>E1</t>
        </is>
      </c>
      <c r="F1" s="1" t="inlineStr">
        <is>
          <t>E2</t>
        </is>
      </c>
      <c r="G1" s="1" t="inlineStr">
        <is>
          <t>E3</t>
        </is>
      </c>
      <c r="H1" s="1" t="inlineStr">
        <is>
          <t>E4</t>
        </is>
      </c>
      <c r="I1" s="1" t="inlineStr">
        <is>
          <t>E5</t>
        </is>
      </c>
      <c r="J1" s="1" t="inlineStr">
        <is>
          <t>Severidad media</t>
        </is>
      </c>
    </row>
    <row r="2">
      <c r="A2" s="2" t="inlineStr">
        <is>
          <t>P01</t>
        </is>
      </c>
      <c r="B2" s="2" t="inlineStr">
        <is>
          <t>H4 — Consistencia y estándares</t>
        </is>
      </c>
      <c r="C2" s="2" t="inlineStr">
        <is>
          <t>La pantalla de inicio de sesión de Keycloak está en inglés</t>
        </is>
      </c>
      <c r="D2" s="2" t="inlineStr">
        <is>
          <t>Web/Móvil</t>
        </is>
      </c>
      <c r="E2" s="2" t="n">
        <v>2</v>
      </c>
      <c r="F2" s="2" t="n">
        <v>3</v>
      </c>
      <c r="G2" s="2" t="n">
        <v>3</v>
      </c>
      <c r="H2" s="2" t="n">
        <v>3</v>
      </c>
      <c r="I2" s="2" t="n">
        <v>3</v>
      </c>
      <c r="J2" s="2">
        <f>AVERAGE(E2:I2)</f>
        <v/>
      </c>
    </row>
    <row r="3">
      <c r="A3" s="2" t="inlineStr">
        <is>
          <t>P02</t>
        </is>
      </c>
      <c r="B3" s="2" t="inlineStr">
        <is>
          <t>H5 — Prevención de errores</t>
        </is>
      </c>
      <c r="C3" s="2" t="inlineStr">
        <is>
          <t>Se publican comunicados triviales sin confirmación previa</t>
        </is>
      </c>
      <c r="D3" s="2" t="inlineStr">
        <is>
          <t>Web</t>
        </is>
      </c>
      <c r="E3" s="2" t="n">
        <v>2</v>
      </c>
      <c r="F3" s="2" t="n">
        <v>2</v>
      </c>
      <c r="G3" s="2" t="n">
        <v>2</v>
      </c>
      <c r="H3" s="2" t="n">
        <v>2</v>
      </c>
      <c r="I3" s="2" t="n">
        <v>2</v>
      </c>
      <c r="J3" s="2">
        <f>AVERAGE(E3:I3)</f>
        <v/>
      </c>
    </row>
    <row r="4">
      <c r="A4" s="2" t="inlineStr">
        <is>
          <t>P03</t>
        </is>
      </c>
      <c r="B4" s="2" t="inlineStr">
        <is>
          <t>H3 — Control y libertad del usuario</t>
        </is>
      </c>
      <c r="C4" s="2" t="inlineStr">
        <is>
          <t>No existe editar ni eliminar comunicados publicados</t>
        </is>
      </c>
      <c r="D4" s="2" t="inlineStr">
        <is>
          <t>Web</t>
        </is>
      </c>
      <c r="E4" s="2" t="n">
        <v>2</v>
      </c>
      <c r="F4" s="2" t="n">
        <v>4</v>
      </c>
      <c r="G4" s="2" t="n">
        <v>4</v>
      </c>
      <c r="H4" s="2" t="n">
        <v>3</v>
      </c>
      <c r="I4" s="2" t="n">
        <v>2</v>
      </c>
      <c r="J4" s="2">
        <f>AVERAGE(E4:I4)</f>
        <v/>
      </c>
    </row>
    <row r="5">
      <c r="A5" s="2" t="inlineStr">
        <is>
          <t>P04</t>
        </is>
      </c>
      <c r="B5" s="2" t="inlineStr">
        <is>
          <t>H5 — Prevención de errores</t>
        </is>
      </c>
      <c r="C5" s="2" t="inlineStr">
        <is>
          <t>El botón SOS se dispara con un solo toque, sin confirmación</t>
        </is>
      </c>
      <c r="D5" s="2" t="inlineStr">
        <is>
          <t>Móvil</t>
        </is>
      </c>
      <c r="E5" s="2" t="n">
        <v>3</v>
      </c>
      <c r="F5" s="2" t="n">
        <v>4</v>
      </c>
      <c r="G5" s="2" t="n">
        <v>3</v>
      </c>
      <c r="H5" s="2" t="n">
        <v>3</v>
      </c>
      <c r="I5" s="2" t="n">
        <v>3</v>
      </c>
      <c r="J5" s="2">
        <f>AVERAGE(E5:I5)</f>
        <v/>
      </c>
    </row>
    <row r="6">
      <c r="A6" s="2" t="inlineStr">
        <is>
          <t>P05</t>
        </is>
      </c>
      <c r="B6" s="2" t="inlineStr">
        <is>
          <t>H1 — Visibilidad del estado del sistema</t>
        </is>
      </c>
      <c r="C6" s="2" t="inlineStr">
        <is>
          <t>Con la aplicación cerrada no llegan notificaciones de avisos</t>
        </is>
      </c>
      <c r="D6" s="2" t="inlineStr">
        <is>
          <t>Móvil</t>
        </is>
      </c>
      <c r="E6" s="2" t="n">
        <v>3</v>
      </c>
      <c r="F6" s="2" t="n">
        <v>4</v>
      </c>
      <c r="G6" s="2" t="n">
        <v>3</v>
      </c>
      <c r="H6" s="2" t="n">
        <v>3</v>
      </c>
      <c r="I6" s="2" t="n">
        <v>3</v>
      </c>
      <c r="J6" s="2">
        <f>AVERAGE(E6:I6)</f>
        <v/>
      </c>
    </row>
    <row r="7">
      <c r="A7" s="2" t="inlineStr">
        <is>
          <t>P06</t>
        </is>
      </c>
      <c r="B7" s="2" t="inlineStr">
        <is>
          <t>H1 — Visibilidad del estado del sistema</t>
        </is>
      </c>
      <c r="C7" s="2" t="inlineStr">
        <is>
          <t>El muro de comunicados web no se auto-refresca ni indica última actualización</t>
        </is>
      </c>
      <c r="D7" s="2" t="inlineStr">
        <is>
          <t>Web</t>
        </is>
      </c>
      <c r="E7" s="2" t="n">
        <v>1</v>
      </c>
      <c r="F7" s="2" t="n">
        <v>2</v>
      </c>
      <c r="G7" s="2" t="n">
        <v>2</v>
      </c>
      <c r="H7" s="2" t="n">
        <v>1</v>
      </c>
      <c r="I7" s="2" t="n">
        <v>1</v>
      </c>
      <c r="J7" s="2">
        <f>AVERAGE(E7:I7)</f>
        <v/>
      </c>
    </row>
    <row r="8">
      <c r="A8" s="2" t="inlineStr">
        <is>
          <t>P07</t>
        </is>
      </c>
      <c r="B8" s="2" t="inlineStr">
        <is>
          <t>H10 — Ayuda y documentación</t>
        </is>
      </c>
      <c r="C8" s="2" t="inlineStr">
        <is>
          <t>No existe ayuda ni onboarding para el usuario final</t>
        </is>
      </c>
      <c r="D8" s="2" t="inlineStr">
        <is>
          <t>Web/Móvil</t>
        </is>
      </c>
      <c r="E8" s="2" t="n">
        <v>2</v>
      </c>
      <c r="F8" s="2" t="n">
        <v>2</v>
      </c>
      <c r="G8" s="2" t="n">
        <v>2</v>
      </c>
      <c r="H8" s="2" t="n">
        <v>2</v>
      </c>
      <c r="I8" s="2" t="n">
        <v>1</v>
      </c>
      <c r="J8" s="2">
        <f>AVERAGE(E8:I8)</f>
        <v/>
      </c>
    </row>
    <row r="9">
      <c r="A9" s="2" t="inlineStr">
        <is>
          <t>P08</t>
        </is>
      </c>
      <c r="B9" s="2" t="inlineStr">
        <is>
          <t>H8 — Diseño estético y minimalista</t>
        </is>
      </c>
      <c r="C9" s="2" t="inlineStr">
        <is>
          <t>La pantalla 'Info' móvil expone contenido técnico de desarrollador</t>
        </is>
      </c>
      <c r="D9" s="2" t="inlineStr">
        <is>
          <t>Móvil</t>
        </is>
      </c>
      <c r="E9" s="2" t="n">
        <v>2</v>
      </c>
      <c r="F9" s="2" t="n">
        <v>2</v>
      </c>
      <c r="G9" s="2" t="n">
        <v>2</v>
      </c>
      <c r="H9" s="2" t="n">
        <v>1</v>
      </c>
      <c r="I9" s="2" t="n">
        <v>2</v>
      </c>
      <c r="J9" s="2">
        <f>AVERAGE(E9:I9)</f>
        <v/>
      </c>
    </row>
    <row r="10">
      <c r="A10" s="2" t="inlineStr">
        <is>
          <t>P09</t>
        </is>
      </c>
      <c r="B10" s="2" t="inlineStr">
        <is>
          <t>H6 — Reconocimiento antes que recuerdo</t>
        </is>
      </c>
      <c r="C10" s="2" t="inlineStr">
        <is>
          <t>Con el GPS denegado el botón SOS queda inhabilitado sin alternativa</t>
        </is>
      </c>
      <c r="D10" s="2" t="inlineStr">
        <is>
          <t>Móvil</t>
        </is>
      </c>
      <c r="E10" s="2" t="n">
        <v>2</v>
      </c>
      <c r="F10" s="2" t="n">
        <v>4</v>
      </c>
      <c r="G10" s="2" t="n">
        <v>4</v>
      </c>
      <c r="H10" s="2" t="n">
        <v>2</v>
      </c>
      <c r="I10" s="2" t="n">
        <v>2</v>
      </c>
      <c r="J10" s="2">
        <f>AVERAGE(E10:I10)</f>
        <v/>
      </c>
    </row>
    <row r="11">
      <c r="A11" s="2" t="inlineStr">
        <is>
          <t>P10</t>
        </is>
      </c>
      <c r="B11" s="2" t="inlineStr">
        <is>
          <t>H4 — Consistencia y estándares</t>
        </is>
      </c>
      <c r="C11" s="2" t="inlineStr">
        <is>
          <t>La página intermedia de autenticación es genérica y en inglés</t>
        </is>
      </c>
      <c r="D11" s="2" t="inlineStr">
        <is>
          <t>Web</t>
        </is>
      </c>
      <c r="E11" s="2" t="n">
        <v>3</v>
      </c>
      <c r="F11" s="2" t="n">
        <v>2</v>
      </c>
      <c r="G11" s="2" t="n">
        <v>2</v>
      </c>
      <c r="H11" s="2" t="n">
        <v>1</v>
      </c>
      <c r="I11" s="2" t="n">
        <v>2</v>
      </c>
      <c r="J11" s="2">
        <f>AVERAGE(E11:I11)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52" customWidth="1" min="3" max="3"/>
  </cols>
  <sheetData>
    <row r="1">
      <c r="A1" s="1" t="inlineStr">
        <is>
          <t>Código</t>
        </is>
      </c>
      <c r="B1" s="1" t="inlineStr">
        <is>
          <t>Evaluador</t>
        </is>
      </c>
      <c r="C1" s="1" t="inlineStr">
        <is>
          <t>Rol</t>
        </is>
      </c>
    </row>
    <row r="2">
      <c r="A2" s="2" t="inlineStr">
        <is>
          <t>E1</t>
        </is>
      </c>
      <c r="B2" s="2" t="inlineStr">
        <is>
          <t>Ing. Andrea Estefanía Villacís Paredes</t>
        </is>
      </c>
      <c r="C2" s="2" t="inlineStr">
        <is>
          <t>Docente de Ingeniería de Software (externa al equipo)</t>
        </is>
      </c>
    </row>
    <row r="3">
      <c r="A3" s="2" t="inlineStr">
        <is>
          <t>E2</t>
        </is>
      </c>
      <c r="B3" s="2" t="inlineStr">
        <is>
          <t>Ing. Marcelo Xavier Núñez Freire</t>
        </is>
      </c>
      <c r="C3" s="2" t="inlineStr">
        <is>
          <t>Especialista UX, consultor independiente</t>
        </is>
      </c>
    </row>
    <row r="4">
      <c r="A4" s="2" t="inlineStr">
        <is>
          <t>E3</t>
        </is>
      </c>
      <c r="B4" s="2" t="inlineStr">
        <is>
          <t>David Sebastián Guamán Aldáz</t>
        </is>
      </c>
      <c r="C4" s="2" t="inlineStr">
        <is>
          <t>Estudiante de 9no semestre, Ing. de Software</t>
        </is>
      </c>
    </row>
    <row r="5">
      <c r="A5" s="2" t="inlineStr">
        <is>
          <t>E4</t>
        </is>
      </c>
      <c r="B5" s="2" t="inlineStr">
        <is>
          <t>Estefanía Carolina Freire Mayorga</t>
        </is>
      </c>
      <c r="C5" s="2" t="inlineStr">
        <is>
          <t>Estudiante de 9no semestre, Ing. de Software</t>
        </is>
      </c>
    </row>
    <row r="6">
      <c r="A6" s="2" t="inlineStr">
        <is>
          <t>E5</t>
        </is>
      </c>
      <c r="B6" s="2" t="inlineStr">
        <is>
          <t>Jonathan Alexander Aguilar Ramos</t>
        </is>
      </c>
      <c r="C6" s="2" t="inlineStr">
        <is>
          <t>Egresado, desarrollador junior (externo)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</cols>
  <sheetData>
    <row r="1">
      <c r="A1" s="1" t="inlineStr">
        <is>
          <t>MÉTRICA</t>
        </is>
      </c>
      <c r="B1" s="1" t="inlineStr">
        <is>
          <t>RESULTADO</t>
        </is>
      </c>
      <c r="C1" s="1" t="inlineStr">
        <is>
          <t>INTERPRETACIÓN</t>
        </is>
      </c>
    </row>
    <row r="2">
      <c r="A2" s="2" t="inlineStr">
        <is>
          <t>SUS — media global</t>
        </is>
      </c>
      <c r="B2" s="2" t="n">
        <v>80.2</v>
      </c>
      <c r="C2" s="2" t="inlineStr">
        <is>
          <t>Sobre 68 = aceptable; percentil ~52 (rango marginal-alto)</t>
        </is>
      </c>
    </row>
    <row r="3">
      <c r="A3" s="2" t="inlineStr">
        <is>
          <t>SUS — desviación estándar</t>
        </is>
      </c>
      <c r="B3" s="2" t="n">
        <v>10.5</v>
      </c>
      <c r="C3" s="2" t="inlineStr">
        <is>
          <t>Mín 60.0 – Máx 97.5</t>
        </is>
      </c>
    </row>
    <row r="4">
      <c r="A4" s="2" t="inlineStr">
        <is>
          <t>PSSUQ — OVERALL</t>
        </is>
      </c>
      <c r="B4" s="2" t="n">
        <v>2.62</v>
      </c>
      <c r="C4" s="2" t="inlineStr">
        <is>
          <t>Escala 1-7 (menor es mejor)</t>
        </is>
      </c>
    </row>
    <row r="5">
      <c r="A5" s="2" t="inlineStr">
        <is>
          <t>PSSUQ — SYSUSE</t>
        </is>
      </c>
      <c r="B5" s="2" t="n">
        <v>2.18</v>
      </c>
      <c r="C5" s="2" t="inlineStr">
        <is>
          <t>Utilidad del sistema: fortaleza</t>
        </is>
      </c>
    </row>
    <row r="6">
      <c r="A6" s="2" t="inlineStr">
        <is>
          <t>PSSUQ — INFOQUAL</t>
        </is>
      </c>
      <c r="B6" s="2" t="n">
        <v>3.23</v>
      </c>
      <c r="C6" s="2" t="inlineStr">
        <is>
          <t>Calidad de la información: principal debilidad</t>
        </is>
      </c>
    </row>
    <row r="7">
      <c r="A7" s="2" t="inlineStr">
        <is>
          <t>PSSUQ — INTQUAL</t>
        </is>
      </c>
      <c r="B7" s="2" t="n">
        <v>2.49</v>
      </c>
      <c r="C7" s="2" t="inlineStr">
        <is>
          <t>Calidad de la interfaz: fortaleza</t>
        </is>
      </c>
    </row>
    <row r="8">
      <c r="A8" s="2" t="inlineStr">
        <is>
          <t>UEQ — Atractivo</t>
        </is>
      </c>
      <c r="B8" s="2" t="n">
        <v>1.66</v>
      </c>
      <c r="C8" s="2" t="inlineStr">
        <is>
          <t>Bueno</t>
        </is>
      </c>
    </row>
    <row r="9">
      <c r="A9" s="2" t="inlineStr">
        <is>
          <t>UEQ — Transparencia</t>
        </is>
      </c>
      <c r="B9" s="2" t="n">
        <v>1.32</v>
      </c>
      <c r="C9" s="2" t="inlineStr">
        <is>
          <t>Sobre el promedio</t>
        </is>
      </c>
    </row>
    <row r="10">
      <c r="A10" s="2" t="inlineStr">
        <is>
          <t>UEQ — Eficiencia</t>
        </is>
      </c>
      <c r="B10" s="2" t="n">
        <v>1.13</v>
      </c>
      <c r="C10" s="2" t="inlineStr">
        <is>
          <t>Sobre el promedio</t>
        </is>
      </c>
    </row>
    <row r="11">
      <c r="A11" s="2" t="inlineStr">
        <is>
          <t>UEQ — Fiabilidad</t>
        </is>
      </c>
      <c r="B11" s="2" t="n">
        <v>1.25</v>
      </c>
      <c r="C11" s="2" t="inlineStr">
        <is>
          <t>Sobre el promedio</t>
        </is>
      </c>
    </row>
    <row r="12">
      <c r="A12" s="2" t="inlineStr">
        <is>
          <t>UEQ — Estimulación</t>
        </is>
      </c>
      <c r="B12" s="2" t="n">
        <v>1.45</v>
      </c>
      <c r="C12" s="2" t="inlineStr">
        <is>
          <t>Bueno</t>
        </is>
      </c>
    </row>
    <row r="13">
      <c r="A13" s="2" t="inlineStr">
        <is>
          <t>UEQ — Novedad</t>
        </is>
      </c>
      <c r="B13" s="2" t="n">
        <v>1.23</v>
      </c>
      <c r="C13" s="2" t="inlineStr">
        <is>
          <t>Bueno</t>
        </is>
      </c>
    </row>
    <row r="14">
      <c r="A14" s="2" t="inlineStr">
        <is>
          <t>Nielsen — problemas detectados</t>
        </is>
      </c>
      <c r="B14" s="2" t="n">
        <v>10</v>
      </c>
      <c r="C14" s="2" t="inlineStr">
        <is>
          <t>5 evaluadores, inspección real del 8-jul-2026</t>
        </is>
      </c>
    </row>
    <row r="15">
      <c r="A15" s="2" t="inlineStr">
        <is>
          <t>Nielsen — severidad media global</t>
        </is>
      </c>
      <c r="B15" s="2" t="n">
        <v>2.4</v>
      </c>
      <c r="C15" s="2" t="inlineStr">
        <is>
          <t>Escala 0-4</t>
        </is>
      </c>
    </row>
    <row r="16">
      <c r="A16" s="2" t="inlineStr">
        <is>
          <t>Nielsen — problemas severidad ≥ 3</t>
        </is>
      </c>
      <c r="B16" s="2" t="n">
        <v>3</v>
      </c>
      <c r="C16" s="2" t="inlineStr">
        <is>
          <t>Mayores o catastróficos: prioridad de corrección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2026-07-08T11:51:03Z</dcterms:created>
  <dcterms:modified xmlns:dcterms="http://purl.org/dc/terms/" xmlns:xsi="http://www.w3.org/2001/XMLSchema-instance" xsi:type="dcterms:W3CDTF">2026-07-08T11:51:03Z</dcterms:modified>
</cp:coreProperties>
</file>